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X522LX\Downloads\"/>
    </mc:Choice>
  </mc:AlternateContent>
  <xr:revisionPtr revIDLastSave="0" documentId="13_ncr:1_{1B469DFF-060C-44FF-890E-BBF224F5E4F9}" xr6:coauthVersionLast="47" xr6:coauthVersionMax="47" xr10:uidLastSave="{00000000-0000-0000-0000-000000000000}"/>
  <bookViews>
    <workbookView xWindow="28680" yWindow="-120" windowWidth="29040" windowHeight="15720" xr2:uid="{5B409C1B-0474-4BF0-B172-D3D32E7E0251}"/>
  </bookViews>
  <sheets>
    <sheet name="EY Ireland PPM Planner 2025" sheetId="4" r:id="rId1"/>
    <sheet name="PPM Dashboard" sheetId="9" r:id="rId2"/>
    <sheet name="BEL Costs as of Jan 2025" sheetId="6" r:id="rId3"/>
    <sheet name="Costing CCN 2025 Service Stream" sheetId="7" r:id="rId4"/>
  </sheets>
  <definedNames>
    <definedName name="_xlnm._FilterDatabase" localSheetId="0" hidden="1">'EY Ireland PPM Planner 2025'!$A$4:$AD$4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0" i="9" l="1"/>
  <c r="AJ5" i="9"/>
  <c r="B5" i="9"/>
  <c r="O8" i="9"/>
  <c r="C10" i="9"/>
  <c r="E10" i="9"/>
  <c r="F10" i="9"/>
  <c r="C5" i="9"/>
  <c r="AJ9" i="9"/>
  <c r="AJ8" i="9"/>
  <c r="AJ7" i="9"/>
  <c r="AJ6" i="9"/>
  <c r="AG10" i="9"/>
  <c r="AG9" i="9"/>
  <c r="AG8" i="9"/>
  <c r="AG7" i="9"/>
  <c r="AG6" i="9"/>
  <c r="AG5" i="9"/>
  <c r="AD10" i="9"/>
  <c r="AD9" i="9"/>
  <c r="AD8" i="9"/>
  <c r="AD7" i="9"/>
  <c r="AD6" i="9"/>
  <c r="AD5" i="9"/>
  <c r="AC5" i="9"/>
  <c r="AA10" i="9"/>
  <c r="AA9" i="9"/>
  <c r="AA8" i="9"/>
  <c r="AA7" i="9"/>
  <c r="AA6" i="9"/>
  <c r="AA5" i="9"/>
  <c r="Z5" i="9"/>
  <c r="X10" i="9"/>
  <c r="X9" i="9"/>
  <c r="X8" i="9"/>
  <c r="X7" i="9"/>
  <c r="X6" i="9"/>
  <c r="X5" i="9"/>
  <c r="U10" i="9"/>
  <c r="U9" i="9"/>
  <c r="U8" i="9"/>
  <c r="U7" i="9"/>
  <c r="U6" i="9"/>
  <c r="U5" i="9"/>
  <c r="R10" i="9"/>
  <c r="R9" i="9"/>
  <c r="R8" i="9"/>
  <c r="R7" i="9"/>
  <c r="R6" i="9"/>
  <c r="R5" i="9"/>
  <c r="O10" i="9"/>
  <c r="O9" i="9"/>
  <c r="O7" i="9"/>
  <c r="O6" i="9"/>
  <c r="O5" i="9"/>
  <c r="L10" i="9"/>
  <c r="L9" i="9"/>
  <c r="L8" i="9"/>
  <c r="L7" i="9"/>
  <c r="L6" i="9"/>
  <c r="L5" i="9"/>
  <c r="I10" i="9"/>
  <c r="I9" i="9"/>
  <c r="I8" i="9"/>
  <c r="I7" i="9"/>
  <c r="I6" i="9"/>
  <c r="I5" i="9"/>
  <c r="F7" i="9"/>
  <c r="C8" i="9"/>
  <c r="F9" i="9"/>
  <c r="F8" i="9"/>
  <c r="F6" i="9"/>
  <c r="F5" i="9"/>
  <c r="F11" i="9"/>
  <c r="I11" i="9"/>
  <c r="L11" i="9"/>
  <c r="O11" i="9"/>
  <c r="R11" i="9"/>
  <c r="U11" i="9"/>
  <c r="X11" i="9"/>
  <c r="AA11" i="9"/>
  <c r="AD11" i="9"/>
  <c r="AG11" i="9"/>
  <c r="AJ11" i="9"/>
  <c r="C9" i="9"/>
  <c r="C7" i="9"/>
  <c r="C6" i="9"/>
  <c r="AI10" i="9"/>
  <c r="AK10" i="9" s="1"/>
  <c r="AF10" i="9"/>
  <c r="AH10" i="9" s="1"/>
  <c r="AC10" i="9"/>
  <c r="AE10" i="9" s="1"/>
  <c r="Z10" i="9"/>
  <c r="AB10" i="9" s="1"/>
  <c r="W10" i="9"/>
  <c r="Y10" i="9" s="1"/>
  <c r="T10" i="9"/>
  <c r="V10" i="9" s="1"/>
  <c r="Q10" i="9"/>
  <c r="S10" i="9" s="1"/>
  <c r="N10" i="9"/>
  <c r="P10" i="9" s="1"/>
  <c r="K10" i="9"/>
  <c r="M10" i="9" s="1"/>
  <c r="H10" i="9"/>
  <c r="J10" i="9" s="1"/>
  <c r="B10" i="9"/>
  <c r="AI9" i="9"/>
  <c r="AK9" i="9" s="1"/>
  <c r="AF9" i="9"/>
  <c r="AH9" i="9" s="1"/>
  <c r="AC9" i="9"/>
  <c r="AE9" i="9" s="1"/>
  <c r="Z9" i="9"/>
  <c r="AB9" i="9" s="1"/>
  <c r="W9" i="9"/>
  <c r="Y9" i="9" s="1"/>
  <c r="T9" i="9"/>
  <c r="V9" i="9" s="1"/>
  <c r="Q9" i="9"/>
  <c r="S9" i="9" s="1"/>
  <c r="N9" i="9"/>
  <c r="P9" i="9" s="1"/>
  <c r="K9" i="9"/>
  <c r="M9" i="9" s="1"/>
  <c r="H9" i="9"/>
  <c r="J9" i="9" s="1"/>
  <c r="E9" i="9"/>
  <c r="B9" i="9"/>
  <c r="AI8" i="9"/>
  <c r="AK8" i="9" s="1"/>
  <c r="AF8" i="9"/>
  <c r="AH8" i="9" s="1"/>
  <c r="AC8" i="9"/>
  <c r="AE8" i="9" s="1"/>
  <c r="Z8" i="9"/>
  <c r="AB8" i="9" s="1"/>
  <c r="W8" i="9"/>
  <c r="Y8" i="9" s="1"/>
  <c r="T8" i="9"/>
  <c r="V8" i="9" s="1"/>
  <c r="Q8" i="9"/>
  <c r="S8" i="9" s="1"/>
  <c r="N8" i="9"/>
  <c r="P8" i="9" s="1"/>
  <c r="K8" i="9"/>
  <c r="M8" i="9" s="1"/>
  <c r="H8" i="9"/>
  <c r="J8" i="9" s="1"/>
  <c r="E8" i="9"/>
  <c r="B8" i="9"/>
  <c r="AI7" i="9"/>
  <c r="AK7" i="9" s="1"/>
  <c r="AF7" i="9"/>
  <c r="AH7" i="9" s="1"/>
  <c r="AC7" i="9"/>
  <c r="AE7" i="9" s="1"/>
  <c r="Z7" i="9"/>
  <c r="AB7" i="9" s="1"/>
  <c r="W7" i="9"/>
  <c r="Y7" i="9" s="1"/>
  <c r="T7" i="9"/>
  <c r="V7" i="9" s="1"/>
  <c r="Q7" i="9"/>
  <c r="S7" i="9" s="1"/>
  <c r="N7" i="9"/>
  <c r="P7" i="9" s="1"/>
  <c r="K7" i="9"/>
  <c r="M7" i="9" s="1"/>
  <c r="H7" i="9"/>
  <c r="J7" i="9" s="1"/>
  <c r="E7" i="9"/>
  <c r="B7" i="9"/>
  <c r="AI6" i="9"/>
  <c r="AK6" i="9" s="1"/>
  <c r="AF6" i="9"/>
  <c r="AH6" i="9" s="1"/>
  <c r="AC6" i="9"/>
  <c r="AE6" i="9" s="1"/>
  <c r="Z6" i="9"/>
  <c r="AB6" i="9" s="1"/>
  <c r="W6" i="9"/>
  <c r="Y6" i="9" s="1"/>
  <c r="T6" i="9"/>
  <c r="V6" i="9" s="1"/>
  <c r="Q6" i="9"/>
  <c r="S6" i="9" s="1"/>
  <c r="N6" i="9"/>
  <c r="P6" i="9" s="1"/>
  <c r="K6" i="9"/>
  <c r="M6" i="9" s="1"/>
  <c r="H6" i="9"/>
  <c r="J6" i="9" s="1"/>
  <c r="E6" i="9"/>
  <c r="B6" i="9"/>
  <c r="AI5" i="9"/>
  <c r="AF5" i="9"/>
  <c r="W5" i="9"/>
  <c r="T5" i="9"/>
  <c r="Q5" i="9"/>
  <c r="N5" i="9"/>
  <c r="K5" i="9"/>
  <c r="H5" i="9"/>
  <c r="E5" i="9"/>
  <c r="E11" i="9" s="1"/>
  <c r="P97" i="4"/>
  <c r="O677" i="4"/>
  <c r="N677" i="4"/>
  <c r="M89" i="6"/>
  <c r="E72" i="6"/>
  <c r="E49" i="6"/>
  <c r="M43" i="6"/>
  <c r="M22" i="6"/>
  <c r="H11" i="9" l="1"/>
  <c r="J11" i="9" s="1"/>
  <c r="B17" i="9" s="1"/>
  <c r="J5" i="9"/>
  <c r="K11" i="9"/>
  <c r="M11" i="9" s="1"/>
  <c r="B18" i="9" s="1"/>
  <c r="M5" i="9"/>
  <c r="Q11" i="9"/>
  <c r="S11" i="9" s="1"/>
  <c r="B20" i="9" s="1"/>
  <c r="S5" i="9"/>
  <c r="T11" i="9"/>
  <c r="V11" i="9" s="1"/>
  <c r="B21" i="9" s="1"/>
  <c r="V5" i="9"/>
  <c r="Z11" i="9"/>
  <c r="AB11" i="9" s="1"/>
  <c r="B23" i="9" s="1"/>
  <c r="AB5" i="9"/>
  <c r="AC11" i="9"/>
  <c r="AE11" i="9" s="1"/>
  <c r="B24" i="9" s="1"/>
  <c r="AE5" i="9"/>
  <c r="AF11" i="9"/>
  <c r="AH11" i="9" s="1"/>
  <c r="B25" i="9" s="1"/>
  <c r="AH5" i="9"/>
  <c r="AI11" i="9"/>
  <c r="AK11" i="9" s="1"/>
  <c r="B26" i="9" s="1"/>
  <c r="AK5" i="9"/>
  <c r="N11" i="9"/>
  <c r="P11" i="9" s="1"/>
  <c r="B19" i="9" s="1"/>
  <c r="P5" i="9"/>
  <c r="W11" i="9"/>
  <c r="Y11" i="9" s="1"/>
  <c r="B22" i="9" s="1"/>
  <c r="Y5" i="9"/>
  <c r="C11" i="9"/>
  <c r="D8" i="9"/>
  <c r="G11" i="9"/>
  <c r="B16" i="9" s="1"/>
  <c r="G5" i="9"/>
  <c r="G6" i="9"/>
  <c r="G7" i="9"/>
  <c r="G8" i="9"/>
  <c r="G9" i="9"/>
  <c r="G10" i="9"/>
  <c r="D5" i="9"/>
  <c r="D6" i="9"/>
  <c r="D7" i="9"/>
  <c r="D9" i="9"/>
  <c r="D10" i="9"/>
  <c r="B11" i="9"/>
  <c r="D11" i="9" l="1"/>
  <c r="B15" i="9" s="1"/>
  <c r="B3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Kevin Bentil</author>
    <author>tc={BD25C0EA-E7A7-42E9-BF15-269B7CDD8ADC}</author>
    <author>tc={7140D746-BD3F-43EC-ACB6-7FE7BDC2FCBE}</author>
    <author>tc={3A149FED-2819-48C6-991B-5673F2BE4B32}</author>
    <author>tc={FDDA9858-A46B-4B1C-A102-8C1588FF83E9}</author>
    <author>tc={D98B7243-AB3F-4812-8A06-10D935C9B6FB}</author>
    <author>tc={B43C5AEE-C6EF-4620-AC80-53FB85174513}</author>
    <author>tc={359DE4D8-61D6-4E08-85E3-CC2A42CEAA0A}</author>
    <author>tc={B5A1C998-6611-4E35-A38F-3F3EBBB20694}</author>
    <author>tc={E8EB32B2-278D-4D59-944A-F323B221F5B1}</author>
    <author>tc={F9F66BD0-3A9C-4442-9562-F93EE8050DD9}</author>
    <author>tc={98420E0C-5ED5-4A05-A3D3-33B83EDD413A}</author>
  </authors>
  <commentList>
    <comment ref="R37" authorId="0" shapeId="0" xr:uid="{6F288B5F-8756-42D0-8119-B4FAA13F442E}">
      <text>
        <r>
          <rPr>
            <sz val="11"/>
            <color theme="1"/>
            <rFont val="Calibri"/>
            <family val="2"/>
            <scheme val="minor"/>
          </rPr>
          <t xml:space="preserve">Kevin Bentil:
Replace pull chords
</t>
        </r>
      </text>
    </comment>
    <comment ref="S41" authorId="0" shapeId="0" xr:uid="{2055270A-B110-406D-B1B2-7EFD52DB60FC}">
      <text>
        <r>
          <rPr>
            <sz val="11"/>
            <color theme="1"/>
            <rFont val="Calibri"/>
            <family val="2"/>
            <scheme val="minor"/>
          </rPr>
          <t xml:space="preserve">Kevin Bentil:
Zip Tap
Temp Ok because its a zip tap
</t>
        </r>
      </text>
    </comment>
    <comment ref="R60" authorId="1" shapeId="0" xr:uid="{BD25C0EA-E7A7-42E9-BF15-269B7CDD8ADC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Maintained by landlord</t>
      </text>
    </comment>
    <comment ref="X60" authorId="2" shapeId="0" xr:uid="{7140D746-BD3F-43EC-ACB6-7FE7BDC2FCBE}">
      <text>
        <t>[Threaded comment]
Your version of Excel allows you to read this threaded comment; however, any edits to it will get removed if the file is opened in a newer version of Excel. Learn more: https://go.microsoft.com/fwlink/?linkid=870924
Comment:
    Maintained by landlord</t>
      </text>
    </comment>
    <comment ref="W104" authorId="0" shapeId="0" xr:uid="{3D0075C8-F208-47CA-B3BB-C3BAF313B718}">
      <text>
        <r>
          <rPr>
            <sz val="11"/>
            <color theme="1"/>
            <rFont val="Calibri"/>
            <family val="2"/>
            <scheme val="minor"/>
          </rPr>
          <t>Kevin Bentil:
This is picked up and captured on snapfix on daily basis, as per the daily checks and audit conducted on snapfix</t>
        </r>
      </text>
    </comment>
    <comment ref="W105" authorId="0" shapeId="0" xr:uid="{01C16A28-664E-41AE-A34C-2371218F185C}">
      <text>
        <r>
          <rPr>
            <sz val="11"/>
            <color theme="1"/>
            <rFont val="Calibri"/>
            <family val="2"/>
            <scheme val="minor"/>
          </rPr>
          <t xml:space="preserve">
</t>
        </r>
      </text>
    </comment>
    <comment ref="S154" authorId="0" shapeId="0" xr:uid="{284A55F0-91FE-49F9-8BA4-32B47A8E80A9}">
      <text>
        <r>
          <rPr>
            <sz val="11"/>
            <color theme="1"/>
            <rFont val="Calibri"/>
            <family val="2"/>
            <scheme val="minor"/>
          </rPr>
          <t xml:space="preserve">Kevin Bentil:
Check comms room unit isolated
</t>
        </r>
      </text>
    </comment>
    <comment ref="R180" authorId="3" shapeId="0" xr:uid="{3A149FED-2819-48C6-991B-5673F2BE4B3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Cover sheet indicates Q2 instead Q1.
</t>
      </text>
    </comment>
    <comment ref="R201" authorId="4" shapeId="0" xr:uid="{FDDA9858-A46B-4B1C-A102-8C1588FF83E9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cover page to Q1</t>
      </text>
    </comment>
    <comment ref="R223" authorId="5" shapeId="0" xr:uid="{D98B7243-AB3F-4812-8A06-10D935C9B6FB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 cover page to Q1</t>
      </text>
    </comment>
    <comment ref="U259" authorId="0" shapeId="0" xr:uid="{2FA71E12-4E24-481B-BD9B-799727D3A4EA}">
      <text>
        <r>
          <rPr>
            <sz val="11"/>
            <color theme="1"/>
            <rFont val="Calibri"/>
            <family val="2"/>
            <scheme val="minor"/>
          </rPr>
          <t xml:space="preserve">Kevin Bentil:
All fabric inspection is covered and caputured on snapfix on daily basis
</t>
        </r>
      </text>
    </comment>
    <comment ref="Q403" authorId="0" shapeId="0" xr:uid="{5F857A03-2FA6-46F4-A0C9-8F15FD6A6137}">
      <text>
        <r>
          <rPr>
            <sz val="11"/>
            <color theme="1"/>
            <rFont val="Calibri"/>
            <family val="2"/>
            <scheme val="minor"/>
          </rPr>
          <t xml:space="preserve">Kevin Bentil:
Proof of visit caters for both building as eircode on the sheet has XX indicating non specificity of building
</t>
        </r>
      </text>
    </comment>
    <comment ref="U407" authorId="0" shapeId="0" xr:uid="{38C4D05D-792C-40AC-9507-D8C5B095C7C2}">
      <text>
        <r>
          <rPr>
            <sz val="11"/>
            <color theme="1"/>
            <rFont val="Calibri"/>
            <family val="2"/>
            <scheme val="minor"/>
          </rPr>
          <t>Kevin Bentil:
Require quotation for all site to change foam to water to comply with legal requirement</t>
        </r>
      </text>
    </comment>
    <comment ref="X413" authorId="6" shapeId="0" xr:uid="{B43C5AEE-C6EF-4620-AC80-53FB85174513}">
      <text>
        <t>[Threaded comment]
Your version of Excel allows you to read this threaded comment; however, any edits to it will get removed if the file is opened in a newer version of Excel. Learn more: https://go.microsoft.com/fwlink/?linkid=870924
Comment:
    @Amy this is done 6 months basis. Was missed out in the first file</t>
      </text>
    </comment>
    <comment ref="X421" authorId="7" shapeId="0" xr:uid="{359DE4D8-61D6-4E08-85E3-CC2A42CEAA0A}">
      <text>
        <t>[Threaded comment]
Your version of Excel allows you to read this threaded comment; however, any edits to it will get removed if the file is opened in a newer version of Excel. Learn more: https://go.microsoft.com/fwlink/?linkid=870924
Comment:
    Done by burlington</t>
      </text>
    </comment>
    <comment ref="R428" authorId="8" shapeId="0" xr:uid="{B5A1C998-6611-4E35-A38F-3F3EBBB2069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Date on cover page to be changed
</t>
      </text>
    </comment>
    <comment ref="X432" authorId="0" shapeId="0" xr:uid="{344C1A33-7058-47A5-B2CF-1D8DF2535300}">
      <text>
        <r>
          <rPr>
            <sz val="11"/>
            <color theme="1"/>
            <rFont val="Calibri"/>
            <family val="2"/>
            <scheme val="minor"/>
          </rPr>
          <t>Kevin Bentil:
This is picked up and captured on snapfix on daily basis, as per the daily checks and audit conducted on snapfix</t>
        </r>
      </text>
    </comment>
    <comment ref="X533" authorId="0" shapeId="0" xr:uid="{0BE3FD91-4250-4223-A9F4-D391C3FE5806}">
      <text>
        <r>
          <rPr>
            <sz val="11"/>
            <color theme="1"/>
            <rFont val="Calibri"/>
            <family val="2"/>
            <scheme val="minor"/>
          </rPr>
          <t xml:space="preserve">Kevin Bentil:
All fabric inspection is covered and caputured on snapfix on daily basis
</t>
        </r>
      </text>
    </comment>
    <comment ref="AB543" authorId="9" shapeId="0" xr:uid="{E8EB32B2-278D-4D59-944A-F323B221F5B1}">
      <text>
        <t>[Threaded comment]
Your version of Excel allows you to read this threaded comment; however, any edits to it will get removed if the file is opened in a newer version of Excel. Learn more: https://go.microsoft.com/fwlink/?linkid=870924
Comment:
    Vendor has committed to completing this in 2026. Email evidence available</t>
      </text>
    </comment>
    <comment ref="W592" authorId="10" shapeId="0" xr:uid="{F9F66BD0-3A9C-4442-9562-F93EE8050DD9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 filters. (2
)</t>
      </text>
    </comment>
    <comment ref="U661" authorId="0" shapeId="0" xr:uid="{E92C4C89-7DEA-4018-B7BA-BC71E21E6284}">
      <text>
        <r>
          <rPr>
            <sz val="11"/>
            <color theme="1"/>
            <rFont val="Calibri"/>
            <family val="2"/>
            <scheme val="minor"/>
          </rPr>
          <t>Kevin Bentil:
Pending quote for changes in adherence with new legislation</t>
        </r>
      </text>
    </comment>
    <comment ref="U662" authorId="0" shapeId="0" xr:uid="{D82D8FEE-C2D6-4E26-81BB-840976136BC0}">
      <text>
        <r>
          <rPr>
            <sz val="11"/>
            <color theme="1"/>
            <rFont val="Calibri"/>
            <family val="2"/>
            <scheme val="minor"/>
          </rPr>
          <t>Kevin Bentil:
Pending quote for changes in adherence with new legislation</t>
        </r>
      </text>
    </comment>
    <comment ref="S668" authorId="11" shapeId="0" xr:uid="{98420E0C-5ED5-4A05-A3D3-33B83EDD413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Remedials
</t>
      </text>
    </comment>
  </commentList>
</comments>
</file>

<file path=xl/sharedStrings.xml><?xml version="1.0" encoding="utf-8"?>
<sst xmlns="http://schemas.openxmlformats.org/spreadsheetml/2006/main" count="5241" uniqueCount="1113">
  <si>
    <t>Archived Asset</t>
  </si>
  <si>
    <t>Site Information</t>
  </si>
  <si>
    <t>PM Task Generation</t>
  </si>
  <si>
    <t>Asset Information</t>
  </si>
  <si>
    <t>Task Allocation</t>
  </si>
  <si>
    <t>Contractor</t>
  </si>
  <si>
    <t>Managed By</t>
  </si>
  <si>
    <t>ISS Checklist (Y/N)</t>
  </si>
  <si>
    <t>Purchase Order</t>
  </si>
  <si>
    <t>2024 Cost</t>
  </si>
  <si>
    <t>2025 Cost</t>
  </si>
  <si>
    <t>Percentage Increase</t>
  </si>
  <si>
    <t>Yearly Schedule</t>
  </si>
  <si>
    <t>Comments</t>
  </si>
  <si>
    <t>Maintenance Plan Description</t>
  </si>
  <si>
    <t>Non-Stat</t>
  </si>
  <si>
    <t>Stat</t>
  </si>
  <si>
    <t>Non Stat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</si>
  <si>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</si>
  <si>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</si>
  <si>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</si>
  <si>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</si>
  <si>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</si>
  <si>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</si>
  <si>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</si>
  <si>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</si>
  <si>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</si>
  <si>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</si>
  <si>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</si>
  <si>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</si>
  <si>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Site</t>
  </si>
  <si>
    <t>Building</t>
  </si>
  <si>
    <t>Frequencies</t>
  </si>
  <si>
    <t>Requires Doc</t>
  </si>
  <si>
    <t>Name</t>
  </si>
  <si>
    <t>Work Group</t>
  </si>
  <si>
    <t>Vendor</t>
  </si>
  <si>
    <t>Waterford</t>
  </si>
  <si>
    <t>The Atrium</t>
  </si>
  <si>
    <t>BS-R-IE002-54.03-May-1</t>
  </si>
  <si>
    <t>6M</t>
  </si>
  <si>
    <t>54.03:Split Systems / Heatpumps</t>
  </si>
  <si>
    <t>Waterford - M&amp;E PPM's</t>
  </si>
  <si>
    <t>Burlington</t>
  </si>
  <si>
    <t>TBC</t>
  </si>
  <si>
    <t>6M - Done</t>
  </si>
  <si>
    <t>6M- Done</t>
  </si>
  <si>
    <t>UK-WFTA-FL01-SHP-54.03-AC Indoor Unit Fan Coils</t>
  </si>
  <si>
    <t>UK-WFTA-FL01-SHP-54.03-AC Split Wall Cassette</t>
  </si>
  <si>
    <t>BS-R-IE002-54.03-May-2</t>
  </si>
  <si>
    <t>54.03:Condensers Air Cooled</t>
  </si>
  <si>
    <t>ref line 11</t>
  </si>
  <si>
    <t>UK-WFTA-ROF-CAC-54.03-AC Condenser 1</t>
  </si>
  <si>
    <t>UK-WFTA-ROF-CAC-54.03-AC Condenser 2</t>
  </si>
  <si>
    <t>UK-WFTA-ROF-CAC-54.03-AC Condenser Comms Room</t>
  </si>
  <si>
    <t>BS-R-IE002-95.12-Dec-1</t>
  </si>
  <si>
    <t>UK-WFTA-FL01-WHE-95.12-Water Heater-002</t>
  </si>
  <si>
    <t>UK-WFTA-FL01-WHE-95.12-Water Heater-003</t>
  </si>
  <si>
    <t>UK-WFTA-FL01-WHE-95.12-Water Heater-004</t>
  </si>
  <si>
    <t>UK-WFTA-FL01-WHE-95.12-Water Heater-005</t>
  </si>
  <si>
    <t>UK-WFTA-FL01-WHE-95.12-Water Heater-007</t>
  </si>
  <si>
    <t>UK-WFTA-FL01-WHE-95.12-Water Heater-001</t>
  </si>
  <si>
    <t>UK-WFTA-FL01-WHE-95.12-Water Heater-006</t>
  </si>
  <si>
    <t>BS-R-IE002-51.01-Mar-1</t>
  </si>
  <si>
    <t>3M</t>
  </si>
  <si>
    <t>51.01:Showers</t>
  </si>
  <si>
    <t>N</t>
  </si>
  <si>
    <t>N/A</t>
  </si>
  <si>
    <t>3M - Done</t>
  </si>
  <si>
    <t>UK-WFTA-FL01-SHO-51.01-Shower-001</t>
  </si>
  <si>
    <t>UK-WFTA-FL01-SHO-51.01-Shower-002</t>
  </si>
  <si>
    <t>BS-R-IE002-NONSFG:DMF-Jun-1</t>
  </si>
  <si>
    <t>12M</t>
  </si>
  <si>
    <t>DMF:Domestic Appliances</t>
  </si>
  <si>
    <t>WPC Internal</t>
  </si>
  <si>
    <t>ISS</t>
  </si>
  <si>
    <t>UK-WFTA-FL01-DMF-Non SFG-Dishwasher</t>
  </si>
  <si>
    <t>UK-WFTA-FL01-DMF-97.16-Microwave</t>
  </si>
  <si>
    <t>UK-WFTA-FL01-DMF-91.03-Coffee Machine</t>
  </si>
  <si>
    <t>UK-WFTA-FL01-DMF-10.02-Fridge</t>
  </si>
  <si>
    <t>BE-R-IE002-88.50-Jun-1</t>
  </si>
  <si>
    <t>88.50:Mechanical Filing</t>
  </si>
  <si>
    <t>Masters Choice</t>
  </si>
  <si>
    <t>Never Done</t>
  </si>
  <si>
    <t>UK-WFTA-FL03-WAP-88.50-Mechanical Filing</t>
  </si>
  <si>
    <t>95.12:Water Heaters Packaged Electric</t>
  </si>
  <si>
    <t>12M - Done</t>
  </si>
  <si>
    <t>BE-R-IE002-95.12-Feb-1</t>
  </si>
  <si>
    <t>UK-WFTA-FL01-DWB-95.12-Zip:Drinking Water Boiler:3rd Kitchen</t>
  </si>
  <si>
    <t>UK-WFTA-FL01-DWB-95.12-Zip:Drinking Water Boiler:1st Canteen</t>
  </si>
  <si>
    <t>BE-R-IE002-49.02-Mar-1</t>
  </si>
  <si>
    <t>UK-WFTA-FL01-CTV-49.02-CCTV System</t>
  </si>
  <si>
    <t>Q3</t>
  </si>
  <si>
    <t>Distribution Boards (DB's)</t>
  </si>
  <si>
    <t>ENG LEAD</t>
  </si>
  <si>
    <t>BE-R-IE002-14.20-Jun-1</t>
  </si>
  <si>
    <t>14.20:Emergency Assistance Alarms</t>
  </si>
  <si>
    <t>BE-R-IE002-37.01-Aug-1</t>
  </si>
  <si>
    <t>UK-WFTA-FL01-SEC-37.01-Emergency Light</t>
  </si>
  <si>
    <t>1M</t>
  </si>
  <si>
    <t>1M - Done</t>
  </si>
  <si>
    <t>BE-R-IE002-23.17-Jun-1</t>
  </si>
  <si>
    <t>UK-WFTA-FL01-FDI-23.17-Fire Doors</t>
  </si>
  <si>
    <t>BE-R-IE002-23.09-Jun-1</t>
  </si>
  <si>
    <t>UK-WFTA-FL01-FEC-23.09-Fire Extinguisher, CO2</t>
  </si>
  <si>
    <t>G4S</t>
  </si>
  <si>
    <t>BE-R-IE002-32.02-Jun-1</t>
  </si>
  <si>
    <t>UK-WFTA-FL01-WSE-32.02-Hot &amp; Cold Water Services</t>
  </si>
  <si>
    <t>BE-R-IE002-23.10-Jun-1</t>
  </si>
  <si>
    <t>UK-WFTA-FL01-FEF-23.10-Fire Extinguisher, Foam</t>
  </si>
  <si>
    <t>ref line 46</t>
  </si>
  <si>
    <t>BE-R-IE002-44.02-Jun-1</t>
  </si>
  <si>
    <t>UK-WFTA-FL01-MSP-44.02-Main Incoming Switch Panel</t>
  </si>
  <si>
    <t>BE-R-IE002-14.24-Oct-1</t>
  </si>
  <si>
    <t>12M,6M</t>
  </si>
  <si>
    <t>UK-WFTA-FL01-UWD-14.24-Leak Detection</t>
  </si>
  <si>
    <t>12M -Done</t>
  </si>
  <si>
    <t>95.12:Zip Drinking Water Boiler</t>
  </si>
  <si>
    <t>ZIP TAP</t>
  </si>
  <si>
    <t>P2011021399</t>
  </si>
  <si>
    <t>ref line 293</t>
  </si>
  <si>
    <t>BE-R-IE002-87.06-Jun-1</t>
  </si>
  <si>
    <t>UK-WFTA-FL01-FBL-87.06-Fire Blanket</t>
  </si>
  <si>
    <t>BE-R-IE002-14.19-Feb-1</t>
  </si>
  <si>
    <t>UK-WFTA-FL01-ASY-14.19-Access Control System</t>
  </si>
  <si>
    <t>ref line 41</t>
  </si>
  <si>
    <t xml:space="preserve">AED </t>
  </si>
  <si>
    <t>BE-R-IE002-NONSFG:AVE-Oct-1-AV Electrosonic:Audio Visual Equipment</t>
  </si>
  <si>
    <t>IE-WFTA-Audio Visual PM's</t>
  </si>
  <si>
    <t>Digicom</t>
  </si>
  <si>
    <t>DIGICOM</t>
  </si>
  <si>
    <t>P2011022220</t>
  </si>
  <si>
    <t>ref line 445</t>
  </si>
  <si>
    <t>UK-CQLQ-FL02-FAS-22.01-Fire Alarm System (includes intruder &amp; fire alarm monitoring)</t>
  </si>
  <si>
    <t>Cork</t>
  </si>
  <si>
    <t>City Quarter</t>
  </si>
  <si>
    <t>BS-R-IE006-14.22-Oct-1</t>
  </si>
  <si>
    <t>14.22:Distribution Boards (DB's)</t>
  </si>
  <si>
    <t>Cork - M&amp;E PPM's</t>
  </si>
  <si>
    <t>UK-CQLQ-FL02-DBD-14.22-DB, Office 2B SDB - Main Switch Panel Sockets &amp; Lighting Right</t>
  </si>
  <si>
    <t>UK-CQLQ-FL02-DBD-14.22-DB Comms Room</t>
  </si>
  <si>
    <t>UK-CQLQ-FL02-DBD-14.22-DB, Office 2A SDB - Main Switch Panel Sockets &amp; Lighting Left</t>
  </si>
  <si>
    <t>BS-R-IE006-23.09-Jul-1</t>
  </si>
  <si>
    <t>23.09:Fire Extinguishers CO2</t>
  </si>
  <si>
    <t>UK-CQLQ-FL02-FEC-23.09-Fire Extinguisher, CO2</t>
  </si>
  <si>
    <t>BS-R-IE006-20.08-Jul-1</t>
  </si>
  <si>
    <t>20.08:Extract Fans</t>
  </si>
  <si>
    <t>UK-CQLQ-FL02-FEX-20.08-Extract Fan-001</t>
  </si>
  <si>
    <t>UK-CQLQ-FL02-FEX-20.08-Extract Fan-002</t>
  </si>
  <si>
    <t>BS-R-IE006-54.03-May-1</t>
  </si>
  <si>
    <t>UK-CQLQ-FL02-SHP-54.03-Split Indoor Unit 2</t>
  </si>
  <si>
    <t>UK-CQLQ-FL02-SHP-54.03-Split Indoor Unit 1</t>
  </si>
  <si>
    <t>BS-R-IE006-54.03-May-2</t>
  </si>
  <si>
    <t>UK-CQLQ-ROF-CAC-54.03-AC Condenser, DX Unit 1</t>
  </si>
  <si>
    <t>UK-CQLQ-ROF-CAC-54.03-AC Condenser, DX Unit 2</t>
  </si>
  <si>
    <t>BS-R-IE006-95.12-Nov-2</t>
  </si>
  <si>
    <t>UK-CQLQ-FL02-WHE-95.12-Water Heater-001</t>
  </si>
  <si>
    <t>UK-CQLQ-FL02-WHE-95.12-Water Heater-002</t>
  </si>
  <si>
    <t>BS-R-IE006-88.50-Nov-1</t>
  </si>
  <si>
    <t>88.50:Walls and partitions Incl Sliding / Mobile</t>
  </si>
  <si>
    <t>UK-CQLQ-FL02-WAP-88.50-Mechanical Glass Wall</t>
  </si>
  <si>
    <t>UK-CQLQ-FL02-WAP-88.50-Mechanical Wall Client 2/3</t>
  </si>
  <si>
    <t>UK-CQLQ-FL02-WAP-88.50-Mechanical Filing System, Wall</t>
  </si>
  <si>
    <t>UK-CQLQ-FL02-WAP-88.50-Mechanical Wall Internal 04/05</t>
  </si>
  <si>
    <t>UK-CQLQ-FL02-WAP-88.50-Mechanical Wall Glass</t>
  </si>
  <si>
    <t>BS-R-IE006-95.12-Apr-1</t>
  </si>
  <si>
    <t>UK-CQLQ-FL02-DWB-95.12-Zip Tap:Classic Boiling Chilled 160/175:Canteen</t>
  </si>
  <si>
    <t>UK-CQLQ-FL02-DWB-95.12-Zip Tap:Classic Boiling Chilled 160/175:2nd Floor Kitchen</t>
  </si>
  <si>
    <t>UK-CQLQ-FL02-DWB-95.12-Zip Tap:Classic Boiling Chilled 160/175:Main Canteen</t>
  </si>
  <si>
    <t>BS-R-IE006-92.01-Nov-1</t>
  </si>
  <si>
    <t>UK-CQLQ-FL02-FFR-92.01-Fridge</t>
  </si>
  <si>
    <t>BS-R-IE006-91.03-Nov-1</t>
  </si>
  <si>
    <t>91.03:Coffee Machines</t>
  </si>
  <si>
    <t>FINDLATER</t>
  </si>
  <si>
    <t>UK-CQLQ-FL02-COF-91.03-Coffee Machine-001</t>
  </si>
  <si>
    <t>UK-CQLQ-FL02-COF-91.03-Coffee Machine-002</t>
  </si>
  <si>
    <t>BS-R-IE002-NONSFG:CLN-Jun-1</t>
  </si>
  <si>
    <t>CLN:PHS Monthly Visit</t>
  </si>
  <si>
    <t>Waterford -WSC</t>
  </si>
  <si>
    <t>PHS</t>
  </si>
  <si>
    <t>Please remove from Planner Not PPM</t>
  </si>
  <si>
    <t>BS-R-IE006-NONSFG:CLN-Jun-1</t>
  </si>
  <si>
    <t>Cork - WSC</t>
  </si>
  <si>
    <t xml:space="preserve">PHS </t>
  </si>
  <si>
    <t>UK-CQLQ-PHS Monthly Visit</t>
  </si>
  <si>
    <t>BE-R-IE006-06.03-Dec-1</t>
  </si>
  <si>
    <t>UK-CQLQ-FL02-COS-06.03-BMS</t>
  </si>
  <si>
    <t>ASHDOWN CONTROLS</t>
  </si>
  <si>
    <t>P201865518</t>
  </si>
  <si>
    <t>12M- Done</t>
  </si>
  <si>
    <t>BE-R-IE006-14.19-Feb-1</t>
  </si>
  <si>
    <t>UK-CQLQ-FL02-ASY-14.19-Access Control</t>
  </si>
  <si>
    <t xml:space="preserve">1M - Done </t>
  </si>
  <si>
    <t>6M,1M</t>
  </si>
  <si>
    <t>UK-CQLQ-FL02-ASY-14.19-Access Control System</t>
  </si>
  <si>
    <t xml:space="preserve">Q3 </t>
  </si>
  <si>
    <t>BE-R-IE006-88.09-Jan-1</t>
  </si>
  <si>
    <t>UK-CQLQ-FL02-BSD-88.09-Roller Shutter</t>
  </si>
  <si>
    <t>BE-R-IE006-32.02-Jun-1</t>
  </si>
  <si>
    <t>UK-CQLQ-FL02-WSE-32.02-Hot &amp; Cold Water Services</t>
  </si>
  <si>
    <t>12M,</t>
  </si>
  <si>
    <t>BE-R-IE006-14.24-Nov-1</t>
  </si>
  <si>
    <t>UK-CQLQ-FL02-UWD-14.24-Leak Detection System</t>
  </si>
  <si>
    <t>12M -  Done</t>
  </si>
  <si>
    <t>BE-R-IE006-23.17-Jun-1</t>
  </si>
  <si>
    <t>UK-CQLQ-FL02-FDI-23.17-Fire Doors</t>
  </si>
  <si>
    <t>BS-R-IE006-37.01-Aug-1</t>
  </si>
  <si>
    <t>12M,1M</t>
  </si>
  <si>
    <t>UK-CQLQ-FL02-EXP-37.01-Emergency Light</t>
  </si>
  <si>
    <t>BE-R-IE006-16.03-May-1</t>
  </si>
  <si>
    <t>UK-CQLQ-FL02-DDA-16.03-Ducting including Fire Dampers</t>
  </si>
  <si>
    <t>BE-R-IE006-59.06-Nov-1</t>
  </si>
  <si>
    <t>UK-CQLQ-FL02-FAC-59.06-Fan Coils</t>
  </si>
  <si>
    <t>BE-R-IE006-NONSFG:AVE-Aug-1-AV Electrosonic:Audio Visual Equipment</t>
  </si>
  <si>
    <t>IE-CQLQ-Audio Visual PM's</t>
  </si>
  <si>
    <t>BS-R-IE006-23.10-Jul-1</t>
  </si>
  <si>
    <t>UK-CQLQ-FL02-FEC-23.10-Fire Extinguisher, Foam</t>
  </si>
  <si>
    <t>ref Line 76</t>
  </si>
  <si>
    <t>Dublin</t>
  </si>
  <si>
    <t>Harcourt Centre</t>
  </si>
  <si>
    <t>BS-M-IE001-36.03-Jul-1</t>
  </si>
  <si>
    <t>36.03:Internal Lighting</t>
  </si>
  <si>
    <t>Dublin - Harcourt - M&amp;E PPM's</t>
  </si>
  <si>
    <t>DUB TECH/BEL</t>
  </si>
  <si>
    <t xml:space="preserve">Part of the weekly BEL Fabric Tech </t>
  </si>
  <si>
    <t>Showers</t>
  </si>
  <si>
    <t xml:space="preserve">3M </t>
  </si>
  <si>
    <t>UK-THC-ALL-FIT-36.03-Internal Light-005</t>
  </si>
  <si>
    <t>UK-THC-ALL-FIT-36.03-Internal Light-004</t>
  </si>
  <si>
    <t>UK-THC-LGND-FIT-36.03-Internal Light</t>
  </si>
  <si>
    <t>UK-THC-FL04-FIT-36.03-Light, 6ft twin FL</t>
  </si>
  <si>
    <t>UK-THC-LGND-FIT-36.03-Light, 6ft twin FL</t>
  </si>
  <si>
    <t>UK-THC-LGND-FIT-36.03-Light, 600x600 FL diffused</t>
  </si>
  <si>
    <t>UK-THC-ALL-FIT-36.03-Internal Light-006</t>
  </si>
  <si>
    <t>UK-THC-FL02-FIT-36.03-Light, 6FT twin FL</t>
  </si>
  <si>
    <t>UK-THC-ALL-FIT-36.03-Internal Light-001</t>
  </si>
  <si>
    <t>UK-THC-ALL-FIT-36.03-Internal Light-002</t>
  </si>
  <si>
    <t>UK-THC-ALL-FIT-36.03-Internal Light-003</t>
  </si>
  <si>
    <t>BS-M-IE001-14.22-Jan-1</t>
  </si>
  <si>
    <t>UK-THC-FL04-DBD-14.22-DB, DB Comms-4</t>
  </si>
  <si>
    <t>UK-THC-FL04-DBD-14.22-DB, UPS Bypass</t>
  </si>
  <si>
    <t>UK-THC-FL04-DBD-14.22-DB, auto transfer switch</t>
  </si>
  <si>
    <t>UK-THC-FL02-DBD-14.22-DB, DB-2</t>
  </si>
  <si>
    <t>UK-THC-FL05-DBD-14.22-DB, DB- 5 Block 8</t>
  </si>
  <si>
    <t>UK-THC-LGND-DBD-14.22-DB, Comms-DB-LG</t>
  </si>
  <si>
    <t>UK-THC-LGND-DBD-14.22-DB, DB-LG</t>
  </si>
  <si>
    <t>UK-THC-UG-DBD-14.22-DB, DB-UG</t>
  </si>
  <si>
    <t>UK-THC-FL06-DBD-14.22-DB, KDB-6</t>
  </si>
  <si>
    <t>UK-THC-FL03-DBD-14.22-DB, DB-3</t>
  </si>
  <si>
    <t>UK-THC-FL04-DBD-14.22-DB, DB-4 Block 1</t>
  </si>
  <si>
    <t>UK-THC-FL05-DBD-14.22-DB, DB-5 Block 1</t>
  </si>
  <si>
    <t>UK-THC-FL06-DBD-14.22-DB, DB-6 Block 1</t>
  </si>
  <si>
    <t>UK-THC-FL07-DBD-14.22-DB, DB-7</t>
  </si>
  <si>
    <t>UK-THC-FL04-DBD-14.22-DB, DB-4 Block 8</t>
  </si>
  <si>
    <t>UK-THC-UG-DBD-14.22-DB, MCB Board Block 8</t>
  </si>
  <si>
    <t>UK-THC-UG-DBD-14.22-DB, SDB Upper Ground Combined Switch Panel</t>
  </si>
  <si>
    <t>UK-THC-FL01-DBD-14.22-DB, DB-1</t>
  </si>
  <si>
    <t>BS-M-IE001-44.12-Sep-1</t>
  </si>
  <si>
    <t>44.12:Busbar Systems</t>
  </si>
  <si>
    <t>UK-THC-FL04-BBS-44.12-Busbar-001</t>
  </si>
  <si>
    <t>UK-THC-FL07-BBS-44.12-Busbar-002</t>
  </si>
  <si>
    <t>UK-THC-FL06-BBS-44.12-Busbar-001</t>
  </si>
  <si>
    <t>UK-THC-LGND-BBS-44.12-Busbar</t>
  </si>
  <si>
    <t>UK-THC-FL01-BBS-44.12-Busbar</t>
  </si>
  <si>
    <t>UK-THC-FL02-BBS-44.12-Busbar</t>
  </si>
  <si>
    <t>UK-THC-LGND-BBS-44.12-Rising Busbar Block 1</t>
  </si>
  <si>
    <t>UK-THC-ALL-BBS-44.12-Busbar</t>
  </si>
  <si>
    <t>UK-THC-FL02-BBS-14.22-Busbar</t>
  </si>
  <si>
    <t>UK-THC-FL05-BBS-44.12-Busbar-001</t>
  </si>
  <si>
    <t>UK-THC-FL05-BBS-44.12-Busbar-002</t>
  </si>
  <si>
    <t>UK-THC-FL04-BBS-44.12-Busbar-002</t>
  </si>
  <si>
    <t>UK-THC-FL04-BBS-44.12-Busbar-003</t>
  </si>
  <si>
    <t>UK-THC-ALL-BBS-44.12-Rising Busbar</t>
  </si>
  <si>
    <t>UK-THC-FL06-BBS-44.12-Busbar-002</t>
  </si>
  <si>
    <t>UK-THC-FL07-BBS-44.12-Busbar-001</t>
  </si>
  <si>
    <t>UK-THC-UG-BBS-44.12-Busbar</t>
  </si>
  <si>
    <t>BS-M-IE001-14.24-Oct-1</t>
  </si>
  <si>
    <t>14.24:Underfloor Water Detection System</t>
  </si>
  <si>
    <t>UK-THC-LGND-UWD-14.24-Leak Detection Panel</t>
  </si>
  <si>
    <t>UK-THC-FL06-UWD-14.24-Leak Detection Panel</t>
  </si>
  <si>
    <t>UK-THC-FL02-UWD-14.24-Leak Detection</t>
  </si>
  <si>
    <t>UK-THC-FL04-UWD-14.24-Leak Detection Panel</t>
  </si>
  <si>
    <t>BS-M-IE001-14.15-Sep-1</t>
  </si>
  <si>
    <t>14.15:Inverters / Speed Controllers</t>
  </si>
  <si>
    <t>UK-THC-ROF-SPC-14.15-Inverter, EF-6 VSD, MCC01 QM MCB6</t>
  </si>
  <si>
    <t>UK-THC-ROF-SPC-14.15-Inverter, EF-7 VSD, MCC01 QM MCB7</t>
  </si>
  <si>
    <t>BS-M-IE001-22.01-Jun-1</t>
  </si>
  <si>
    <t>UK-THC-UG-FAS-22.01-Fire Alarm System, Repeater</t>
  </si>
  <si>
    <t>UK-THC-UG-FAS-22.01-Fire Alarm System, Panel 2</t>
  </si>
  <si>
    <t>UK-THC-LGND-FAS-22.01-Fire Alarm System, Panel 3</t>
  </si>
  <si>
    <t>BS-M-IE001-23.13-Nov-1</t>
  </si>
  <si>
    <t>23.13:Fire Extinguishers Water</t>
  </si>
  <si>
    <t>UK-THC-ALL-FES-23.13-Fire Extinguisher, Water</t>
  </si>
  <si>
    <t>UK-THC-ALL-FES-23.13-Fire Extinguisher. Wet Chem</t>
  </si>
  <si>
    <t>BS-M-IE001-23.16-Dec-1</t>
  </si>
  <si>
    <t>23.16:Kitchen Hood Fire Suppression</t>
  </si>
  <si>
    <t>Last Carried Out 2021</t>
  </si>
  <si>
    <t>UK-THC-FL07-KHS-23.16-Ansul Fire Suppression</t>
  </si>
  <si>
    <t>UK-THC-FL06-KHS-23.16-Ansul Fire Suppression</t>
  </si>
  <si>
    <t>BS-M-IE001-03.01-Mar-3</t>
  </si>
  <si>
    <t>03.01:Air Handling Units</t>
  </si>
  <si>
    <t>ref line 183</t>
  </si>
  <si>
    <t>UK-THC-LGND-AHU-03.01-AHU 1</t>
  </si>
  <si>
    <t>UK-THC-ROF-AHU-03.01-AHU 4, including Boiler System, MCC 91 QM4</t>
  </si>
  <si>
    <t>UK-THC-ROF-AHU-03.01-AHU 5 / 20-20</t>
  </si>
  <si>
    <t>UK-THC-FL02-AHU-03.01-AHU 2, Fresh Air in Floor 2</t>
  </si>
  <si>
    <t>UK-THC-ROF-AHU-03.01-AHU 3 / 15-20,Including gas boiler system, MCC 01 QM3</t>
  </si>
  <si>
    <t>BS-M-IE001-20.08-May-1</t>
  </si>
  <si>
    <t>20.08:Extract Fans (Kitchen Ducting)</t>
  </si>
  <si>
    <t>Airways</t>
  </si>
  <si>
    <t>UK-THC-ROF-FEX-20.08-Extractor, 6th floor canopy extract</t>
  </si>
  <si>
    <t>UK-THC-ROF-FEX-20.08-Extractor, 7th Floor Canopy Extract, EF6</t>
  </si>
  <si>
    <t>BS-M-IE001-54.03-Mar-3</t>
  </si>
  <si>
    <t>54.03:Split Systems / Heatpumps 001</t>
  </si>
  <si>
    <t>UK-THC-LGND-SHP-54.03-AC Split Unit, AC1 LG</t>
  </si>
  <si>
    <t>UK-THC-LGND-SHP-54.03-AC Split Unit, Training Room-001</t>
  </si>
  <si>
    <t>UK-THC-LGND-SHP-54.03-AC Split Unit, Training Room-002</t>
  </si>
  <si>
    <t>UK-THC-LGND-SHP-54.03-AC Split Unit, HC-B1-LG-MR01-002</t>
  </si>
  <si>
    <t>UK-THC-LGND-SHP-54.03-AC Split Unit,</t>
  </si>
  <si>
    <t>UK-THC-LGND-SHP-54.03-AC Split Unit, HC-B1-LG-MR01-001</t>
  </si>
  <si>
    <t>UK-THC-LGND-SHP-54.03-AC Split Unit, Print Room-001</t>
  </si>
  <si>
    <t>UK-THC-LGND-SHP-54.03-AC Split Unit, Print Room-002</t>
  </si>
  <si>
    <t>UK-THC-UG-SHP-54.03-AC Split Unit, HC-B1-UG-M01</t>
  </si>
  <si>
    <t>UK-THC-UG-SHP-54.03-AC Split Unit, -001</t>
  </si>
  <si>
    <t>UK-THC-UG-SHP-54.03-AC Split Unit, -002</t>
  </si>
  <si>
    <t>UK-THC-UG-SHP-54.03-AC Split Unit, -003</t>
  </si>
  <si>
    <t>UK-THC-UG-SHP-54.03-AC Split Unit, -004</t>
  </si>
  <si>
    <t>UK-THC-UG-SHP-54.03-AC Split Unit, -005</t>
  </si>
  <si>
    <t>UK-THC-UG-SHP-54.03-AC Split Unit, -006</t>
  </si>
  <si>
    <t>UK-THC-UG-SHP-54.03-AC Split Unit, -007</t>
  </si>
  <si>
    <t>UK-THC-UG-SHP-54.03-AC Split Unit, -008</t>
  </si>
  <si>
    <t>UK-THC-UG-SHP-54.03-AC Split Unit, -009</t>
  </si>
  <si>
    <t>UK-THC-UG-SHP-54.03-AC Split Unit, -0010</t>
  </si>
  <si>
    <t>UK-THC-UG-SHP-54.03-AC Split Unit, -0011</t>
  </si>
  <si>
    <t>BS-M-IE001-54.03-Mar-1</t>
  </si>
  <si>
    <t xml:space="preserve">UK-THC-BS-CAC-54.03-AC Condenser, OU-15, FL02 units 21, 22, 23, 24, 25 &amp;27, FL04 units 35, 36, 37 &amp; </t>
  </si>
  <si>
    <t>UK-THC-ROF-CAC-54.03-AC Condenser, OU-16 A</t>
  </si>
  <si>
    <t>UK-THC-ROF-CAC-54.03-AC Condenser, OU-16 B, AC 7th Floor units 62, 64, 66, 67, 68, 69 &amp; 72</t>
  </si>
  <si>
    <t>UK-THC-ROF-CAC-54.03-AC Condenser, OU-17 A</t>
  </si>
  <si>
    <t>UK-THC-ROF-CAC-54.03-AC Condenser, OU-17 B, AC 7th Floor Units 56, 57, 58, 59, 60 &amp; 61</t>
  </si>
  <si>
    <t>UK-THC-BS-CAC-54.03-AC Condenser, OU-03, LG Units , C&amp; D UG units 5, 6, 7, 8, 75 &amp; 76 sys1</t>
  </si>
  <si>
    <t>UK-THC-BS-CAC-54.03-AC Condenser, OU-04, FL01 unit 15, UG unutb10 &amp; FL02 unitb26 Comms rooms</t>
  </si>
  <si>
    <t>UK-THC-BS-CAC-54.03-AC Condenser, OU-05, FL02 unit 19</t>
  </si>
  <si>
    <t>UK-THC-BS-CAC-54.03-AC Condenser, OU-06 FL02 unit 20</t>
  </si>
  <si>
    <t>UK-THC-BS-CAC-54.03-AC Condenser, OU-07, FL05 Blk1 units 1, 50, 51,m52 &amp; 53, fL06 units 55 and FL07</t>
  </si>
  <si>
    <t>UK-THC-ROF-CAC-54.03-AC Condenser, OU-08, 3rd Floor, unitsv28, 29, 30, 31&amp; 32</t>
  </si>
  <si>
    <t>UK-THC-BS-CAC-54.03-AC Condenser, OU-01, LG unit B</t>
  </si>
  <si>
    <t>UK-THC-BS-CAC-54.03-AC Condenser, OU-09, Main Comms Room</t>
  </si>
  <si>
    <t>UK-THC-ROF-CAC-54.03-AC Condenser, OU-14, 5/6th Floor, units 49 &amp; 54</t>
  </si>
  <si>
    <t>UK-THC-BS-CAC-54.03-AC Condenser, OU-10, Main Comms Room</t>
  </si>
  <si>
    <t>UK-THC-ROF-CAC-54.03-AC Condenser, OU-11AC 4/5th Floor Block 8, units 39, 40, 41, 42, 46, 47 &amp; 48</t>
  </si>
  <si>
    <t>UK-THC-BS-CAC-54.03-AC Condenser, OU-12</t>
  </si>
  <si>
    <t>UK-THC-BS-CAC-54.03-AC Condenser, OU-13, FL04 BLk9 unit 45 Comms Room</t>
  </si>
  <si>
    <t>UK-THC-ROF-CAC-54.03-AC Condenser 3 / 1, Heat Pump 1, Inverter</t>
  </si>
  <si>
    <t>UK-THC-ROF-CAC-54.03-AC Condenser 3 / 2, Heat Pump 2 Inverter</t>
  </si>
  <si>
    <t>BS-M-IE001-54.03-Sep-7</t>
  </si>
  <si>
    <t>54.03:Condensate Pump</t>
  </si>
  <si>
    <t>UK-THC-FL02-SDS-54.03-Condensate Pump 1</t>
  </si>
  <si>
    <t>UK-THC-FL02-SDS-54.03-Condensate Pump 2</t>
  </si>
  <si>
    <t>UK-THC-FL02-SDS-54.03-Condensate Pump 3</t>
  </si>
  <si>
    <t>UK-THC-FL07-SDS-54.03-Condensate Pump</t>
  </si>
  <si>
    <t>BS-M-IE001-32.07-Mar-1</t>
  </si>
  <si>
    <t>24M,12M</t>
  </si>
  <si>
    <t>32.07:Calorifier Hot Water Supply</t>
  </si>
  <si>
    <t>24M - Done</t>
  </si>
  <si>
    <t>UK-THC-ROF-CHW-32.07-Calorifier 1, Water Heater, Main Hot Water</t>
  </si>
  <si>
    <t>UK-THC-ROF-CHW-32.07-Calorifier 2, Water Heater, Main Hot Water</t>
  </si>
  <si>
    <t>BS-M-IE001-95.12-Apr-1</t>
  </si>
  <si>
    <t>UK-THC-UG-WHE-95.12-Water Heater-001</t>
  </si>
  <si>
    <t>UK-THC-UG-WHE-95.12-Water Heater-002</t>
  </si>
  <si>
    <t>UK-THC-FL04-WHE-95.12-Water Heater-001</t>
  </si>
  <si>
    <t>UK-THC-FL04-WHE-95.12-Water Heater-002</t>
  </si>
  <si>
    <t>UK-THC-FL05-WHE-95.12-Water Heater</t>
  </si>
  <si>
    <t>BS-M-IE001-10.01-Jan-1</t>
  </si>
  <si>
    <t>10.01:Cold Rooms</t>
  </si>
  <si>
    <t>CORCORANS</t>
  </si>
  <si>
    <t>P2011024310</t>
  </si>
  <si>
    <t>UK-THC-ROF-CRM-10.01-Walk-in Freezer Condenser</t>
  </si>
  <si>
    <t>UK-THC-FL06-CRM-10.01-Walk-in Cold Room</t>
  </si>
  <si>
    <t>UK-THC-FL06-CRM-10.01-Walk-in Cold Room Panel 4 wit cold watch alarm</t>
  </si>
  <si>
    <t>UK-THC-ROF-CRM-10.01-Walk-in Fridge Condenser</t>
  </si>
  <si>
    <t>BS-M-IE001-14.19-Sep-1</t>
  </si>
  <si>
    <t>14.19:Access Systems (Door Access Control)</t>
  </si>
  <si>
    <t>1M- Done</t>
  </si>
  <si>
    <t>M&amp;J Electronics</t>
  </si>
  <si>
    <t>UK-THC-FL07-ASY-14.19-Access Control Panel</t>
  </si>
  <si>
    <t>UK-THC-LGND-ASY-14.19-Access Control Panel</t>
  </si>
  <si>
    <t>UK-THC-UG-ASY-14.19-Access Control Panel</t>
  </si>
  <si>
    <t>UK-THC-FL01-ASY-14.19-Access Control Panel</t>
  </si>
  <si>
    <t>UK-THC-FL06-ASY-14.19-Access Control Panel</t>
  </si>
  <si>
    <t>UK-THC-FL05-ASY-14.19-Access Control Panel-001</t>
  </si>
  <si>
    <t>UK-THC-FL05-ASY-14.19-Access Control Panel-002</t>
  </si>
  <si>
    <t>UK-THC-FL04-ASY-14.19-Access Control Panel-001</t>
  </si>
  <si>
    <t>UK-THC-FL04-ASY-14.19-Access Control Panel-002</t>
  </si>
  <si>
    <t>UK-THC-FL03-ASY-14.19-Access Control Panel</t>
  </si>
  <si>
    <t>UK-THC-FL02-ASY-14.19-Access Control Panel</t>
  </si>
  <si>
    <t>BS-M-IE001-14.20-Feb-1</t>
  </si>
  <si>
    <t xml:space="preserve">12M - Done </t>
  </si>
  <si>
    <t>UK-THC-UG-EAA-14.20-Emergency Alarm</t>
  </si>
  <si>
    <t>UK-THC-LGND-EAA-14.20-Emergency Alarm</t>
  </si>
  <si>
    <t>UK-THC-FL01-EAA-14.20-Emergency Alarm</t>
  </si>
  <si>
    <t>BS-M-IE001-88.04-Mar-1</t>
  </si>
  <si>
    <t>BFI:Building Fabric Inspections - Internal</t>
  </si>
  <si>
    <t>UK-THC-ALL-BFI-88.04-Building Fabric Inspections - Internal-001</t>
  </si>
  <si>
    <t>UK-THC-ALL-BFI-88.04-Building Fabric Inspections - Internal-002</t>
  </si>
  <si>
    <t>BS-M-IE001-06.05-Sep-1</t>
  </si>
  <si>
    <t>06.05:BMS Outstations</t>
  </si>
  <si>
    <t>€1200.00</t>
  </si>
  <si>
    <t>UK-THC-ROF-OUT-06.05-BMS Outstation, AHU 4</t>
  </si>
  <si>
    <t>UK-THC-ROF-OUT-06.05-BMS outstation, MCc-01</t>
  </si>
  <si>
    <t>BS-M-IE001-29.03-Mar-1</t>
  </si>
  <si>
    <t>29.03:Plate Recuperator/ Heat Recovery Units</t>
  </si>
  <si>
    <t>UK-THC-LGND-PRC-29.03-Heat Recovery Unit 1</t>
  </si>
  <si>
    <t>UK-THC-LGND-PRC-29.03-Heat Recovery Unit 2</t>
  </si>
  <si>
    <t>UK-THC-LGND-PRC-29.03-Heat Recovery Unit 3</t>
  </si>
  <si>
    <t>UK-THC-LGND-PRC-29.03-Heat Recovery Unit 4</t>
  </si>
  <si>
    <t>UK-THC-LGND-PRC-29.03-Heat Recovery Unit 5</t>
  </si>
  <si>
    <t>UK-THC-LGND-PRC-29.03-Heat Recovery Unit 6</t>
  </si>
  <si>
    <t>UK-THC-LGND-PRC-29.03-Heat Recovery Unit 7</t>
  </si>
  <si>
    <t>BS-M-IE001-71.06-Feb-1</t>
  </si>
  <si>
    <t>60M,3M</t>
  </si>
  <si>
    <t>71.06:Grease / Oil Separators</t>
  </si>
  <si>
    <t>FM,Environmental</t>
  </si>
  <si>
    <t xml:space="preserve">3M - Done </t>
  </si>
  <si>
    <t>UK-THC-FL06-SES-71.06-Grease shield-002</t>
  </si>
  <si>
    <t>UK-THC-FL06-SES-71.06-Grease shield-001</t>
  </si>
  <si>
    <t>UK-THC-FL06-SES-71.06-Grease shield-003</t>
  </si>
  <si>
    <t>BS-M-IE001-95.12-Feb-2</t>
  </si>
  <si>
    <t>95.12:Drinking Water Boiler</t>
  </si>
  <si>
    <t>UK-THC-FL04-DWB-95.12-Drinking Water Boiler-004</t>
  </si>
  <si>
    <t>UK-THC-FL04-DWB-95.12-Drinking Water Boiler-002</t>
  </si>
  <si>
    <t>UK-THC-FL03-DWB-95.12-Drinking Water Boiler</t>
  </si>
  <si>
    <t>UK-THC-FL06-DWB-95.12-Drinking Water Boiler-001</t>
  </si>
  <si>
    <t>UK-THC-FL02-DWB-95.12-Drinking Water Boiler</t>
  </si>
  <si>
    <t>UK-THC-FL04-DWB-95.12-Drinking Water Boiler-001</t>
  </si>
  <si>
    <t>UK-THC-FL05-DWB-95.12-Drinking Water Boiler-002</t>
  </si>
  <si>
    <t>UK-THC-FL05-DWB-95.12-Drinking Water Boiler-001</t>
  </si>
  <si>
    <t>UK-THC-FL04-DWB-95.12-Drinking Water Boiler-003</t>
  </si>
  <si>
    <t>UK-THC-FL07-DWB-95.12-Drinking Water Boiler</t>
  </si>
  <si>
    <t>UK-THC-FL06-DWB-95.12-Drinking Water Boiler-002</t>
  </si>
  <si>
    <t>UK-THC-LGND-DWB-95.12-Drinking Water Boiler</t>
  </si>
  <si>
    <t>UK-THC-UG-DWB-95.12-Drinking Water Boiler-001</t>
  </si>
  <si>
    <t>UK-THC-UG-DWB-95.12-Drinking Water Boiler-002</t>
  </si>
  <si>
    <t>UK-THC-FL01-DWB-95.12-Drinking Water Boiler</t>
  </si>
  <si>
    <t>BS-M-IE001-92.01-Nov-1</t>
  </si>
  <si>
    <t>92.01:Fridges, Freezers and Blast Chillers (Commercial)</t>
  </si>
  <si>
    <t>UK-THC-FL04-FFR-92.01-Milk Fridge-003</t>
  </si>
  <si>
    <t>UK-THC-FL03-FFR-92.01-Milk Fridge</t>
  </si>
  <si>
    <t>UK-THC-FL04-FFR-92.01-Milk Fridge-001</t>
  </si>
  <si>
    <t>UK-THC-FL05-FFR-92.01-Milk Fridge-002</t>
  </si>
  <si>
    <t>UK-THC-FL05-FFR-92.01-Milk Fridge-001</t>
  </si>
  <si>
    <t>UK-THC-FL04-FFR-92.01-Milk Fridge-002</t>
  </si>
  <si>
    <t>UK-THC-FL07-FFR-92.01-Freezer, Commercial Under Counter</t>
  </si>
  <si>
    <t>UK-THC-FL07-FFR-92.01-Fridge, Commercial Under Counter</t>
  </si>
  <si>
    <t>UK-THC-FL07-FFR-92.01-Bottle Fridge, Commercial-001</t>
  </si>
  <si>
    <t>UK-THC-FL07-FFR-92.01-Bottle Fridge, Commercial-002</t>
  </si>
  <si>
    <t>UK-THC-FL07-FFR-92.01-Fridge, Commercial</t>
  </si>
  <si>
    <t>UK-THC-FL06-FFR-92.01-Fridge, Commercial Under Counter-001</t>
  </si>
  <si>
    <t>UK-THC-FL06-FFR-92.01-Fridge, Commercial Under Counter-002</t>
  </si>
  <si>
    <t>UK-THC-FL06-FFR-92.01-Counterline Open salad</t>
  </si>
  <si>
    <t>UK-THC-FL06-FFR-92.01-Counterline Enclosed Salad-001</t>
  </si>
  <si>
    <t>UK-THC-FL06-FFR-92.01-Counterline Enclosed Salad-002</t>
  </si>
  <si>
    <t>UK-THC-FL06-FFR-92.01-Blast Chiller</t>
  </si>
  <si>
    <t>UK-THC-FL06-FFR-92.01-Milk Fridge</t>
  </si>
  <si>
    <t>UK-THC-FL06-FFR-92.01-Fridge, Commercial Upright</t>
  </si>
  <si>
    <t>UK-THC-LGND-FFR-92.01-Milk Fridge</t>
  </si>
  <si>
    <t>UK-THC-UG-FFR-92.01-Milk Fridge-002</t>
  </si>
  <si>
    <t>UK-THC-FL01-FFR-92.01-Milk Fridge</t>
  </si>
  <si>
    <t>UK-THC-FL02-FFR-92.01-Milk Fridge</t>
  </si>
  <si>
    <t>UK-THC-UG-FFR-92.01-Milk Fridge-001</t>
  </si>
  <si>
    <t>BS-M-IE001-96.09-Apr-1</t>
  </si>
  <si>
    <t>96.09:Gas Appliances Kitchens</t>
  </si>
  <si>
    <t>ref line 257</t>
  </si>
  <si>
    <t>UK-THC-FL06-CCG-96.09-Oven, Electric Commercial -002</t>
  </si>
  <si>
    <t>UK-THC-FL07-CCG-96.09-Gas Oven, Commercial</t>
  </si>
  <si>
    <t>UK-THC-FL06-CCG-96.09-Twin Fryer Gas</t>
  </si>
  <si>
    <t>UK-THC-FL06-CCG-96.09-Hob 4 Ring Gas Burner</t>
  </si>
  <si>
    <t>UK-THC-FL06-CCG-96.09-Gas Robotcoupe-001</t>
  </si>
  <si>
    <t>UK-THC-FL06-CCG-96.09-Gas Robotcoupe-002</t>
  </si>
  <si>
    <t>UK-THC-FL07-CCG-96.09-Fryer</t>
  </si>
  <si>
    <t>UK-THC-FL06-CCG-96.09-Grill, Commercial</t>
  </si>
  <si>
    <t>UK-THC-FL06-CCG-96.09-Oven, Electric Commercial -001</t>
  </si>
  <si>
    <t>BS-M-IE001-54.03-Mar-4</t>
  </si>
  <si>
    <t>UK-THC-FL01-SHP-54.03-AC Split Unit, -001</t>
  </si>
  <si>
    <t>UK-THC-FL01-SHP-54.03-AC Split Unit, -002</t>
  </si>
  <si>
    <t>UK-THC-FL01-SHP-54.03-AC Split Unit, -003</t>
  </si>
  <si>
    <t>UK-THC-FL01-SHP-54.03-AC Split Unit, -004</t>
  </si>
  <si>
    <t>UK-THC-FL02-SHP-54.03-AC Split Unit, -001</t>
  </si>
  <si>
    <t>UK-THC-FL04-SHP-54.03-AC Split Unit, -0010</t>
  </si>
  <si>
    <t>UK-THC-FL02-SHP-54.03-AC Split Unit, -006</t>
  </si>
  <si>
    <t>UK-THC-FL02-SHP-54.03-AC Split Unit, -007</t>
  </si>
  <si>
    <t>UK-THC-FL02-SHP-54.03-AC Split Unit, -008</t>
  </si>
  <si>
    <t>UK-THC-FL02-SHP-54.03-AC Split Unit, -009</t>
  </si>
  <si>
    <t>UK-THC-FL02-SHP-54.03-AC Split Unit, -0010</t>
  </si>
  <si>
    <t>UK-THC-FL03-SHP-54.03-AC Split Unit, -001</t>
  </si>
  <si>
    <t>UK-THC-FL03-SHP-54.03-AC Split Unit, -002</t>
  </si>
  <si>
    <t>UK-THC-FL03-SHP-54.03-AC Split Unit, -003</t>
  </si>
  <si>
    <t>UK-THC-FL03-SHP-54.03-AC Split Unit, -004</t>
  </si>
  <si>
    <t>UK-THC-FL03-SHP-54.03-AC Split Unit, -005</t>
  </si>
  <si>
    <t>UK-THC-FL03-SHP-54.03-AC Split Unit, -006</t>
  </si>
  <si>
    <t>UK-THC-FL04-SHP-54.03-AC Split Unit, -001</t>
  </si>
  <si>
    <t>UK-THC-FL04-SHP-54.03-AC Split Unit, -002</t>
  </si>
  <si>
    <t>UK-THC-FL04-SHP-54.03-AC Split Unit, -003</t>
  </si>
  <si>
    <t>UK-THC-FL04-SHP-54.03-AC Split Unit, -004</t>
  </si>
  <si>
    <t>UK-THC-FL04-SHP-54.03-AC Split Unit, -005</t>
  </si>
  <si>
    <t>UK-THC-FL04-SHP-54.03-AC Split Unit, -006</t>
  </si>
  <si>
    <t>UK-THC-FL04-SHP-54.03-AC Split Unit, -007</t>
  </si>
  <si>
    <t>UK-THC-FL04-SHP-54.03-AC Split Unit, -0011</t>
  </si>
  <si>
    <t>UK-THC-FL04-SHP-54.03-AC Split Unit, -0012</t>
  </si>
  <si>
    <t>UK-THC-FL04-SHP-54.03-AC Split Unit, -008</t>
  </si>
  <si>
    <t>UK-THC-FL04-SHP-54.03-AC Split Unit, -009</t>
  </si>
  <si>
    <t>UK-THC-FL02-SHP-54.03-AC Split Unit, -002</t>
  </si>
  <si>
    <t>UK-THC-FL02-SHP-54.03-AC Split Unit, -003</t>
  </si>
  <si>
    <t>UK-THC-FL02-SHP-54.03-AC Split Unit, -004</t>
  </si>
  <si>
    <t>UK-THC-FL02-SHP-54.03-AC Split Unit, -005</t>
  </si>
  <si>
    <t>BS-M-IE001-54.03-Mar-2</t>
  </si>
  <si>
    <t>54.03:Split Systems / Heatpumps 003</t>
  </si>
  <si>
    <t>UK-THC-FL07-SHP-54.03-AC Split Unit, -005</t>
  </si>
  <si>
    <t>UK-THC-FL05-SHP-54.03-AC Split Unit, -001</t>
  </si>
  <si>
    <t>UK-THC-FL05-SHP-54.03-AC Split Unit, -002</t>
  </si>
  <si>
    <t>UK-THC-FL07-SHP-54.03-AC Split Unit, -0016</t>
  </si>
  <si>
    <t>UK-THC-FL05-SHP-54.03-AC Split Unit, -003</t>
  </si>
  <si>
    <t>UK-THC-FL05-SHP-54.03-AC Split Unit, -004</t>
  </si>
  <si>
    <t>UK-THC-FL05-SHP-54.03-AC Split Unit, -005</t>
  </si>
  <si>
    <t>UK-THC-FL05-SHP-54.03-AC Split Unit, -006</t>
  </si>
  <si>
    <t>UK-THC-FL05-SHP-54.03-AC Split Unit, -007</t>
  </si>
  <si>
    <t>UK-THC-FL05-SHP-54.03-AC Split Unit, -008</t>
  </si>
  <si>
    <t>UK-THC-FL07-SHP-54.03-AC Split Unit, -006</t>
  </si>
  <si>
    <t>UK-THC-FL07-SHP-54.03-AC Split Unit, -007</t>
  </si>
  <si>
    <t>UK-THC-FL07-SHP-54.03-AC Split Unit, -008</t>
  </si>
  <si>
    <t>UK-THC-FL07-SHP-54.03-AC Split Unit, -009</t>
  </si>
  <si>
    <t>UK-THC-FL07-SHP-54.03-AC Split Unit, -0010</t>
  </si>
  <si>
    <t>UK-THC-FL07-SHP-54.03-AC Split Unit, -0011</t>
  </si>
  <si>
    <t>UK-THC-FL07-SHP-54.03-AC Split Unit, -0012</t>
  </si>
  <si>
    <t>UK-THC-FL07-SHP-54.03-AC Split Unit, -0013</t>
  </si>
  <si>
    <t>UK-THC-FL07-SHP-54.03-AC Split Unit, -0014</t>
  </si>
  <si>
    <t>UK-THC-FL07-SHP-54.03-AC Split Unit, -0015</t>
  </si>
  <si>
    <t>UK-THC-FL05-SHP-54.03-AC Split Unit, -009</t>
  </si>
  <si>
    <t>UK-THC-FL06-SHP-54.03-AC Split Unit, -001</t>
  </si>
  <si>
    <t>UK-THC-FL06-SHP-54.03-AC Split Unit, -002</t>
  </si>
  <si>
    <t>UK-THC-FL06-SHP-54.03-AC Split Unit, -003</t>
  </si>
  <si>
    <t>UK-THC-FL07-SHP-54.03-AC Split Unit, -001</t>
  </si>
  <si>
    <t>UK-THC-FL07-SHP-54.03-AC Split Unit, -002</t>
  </si>
  <si>
    <t>UK-THC-FL07-SHP-54.03-AC Split Unit, -003</t>
  </si>
  <si>
    <t>UK-THC-FL07-SHP-54.03-AC Split Unit, -004</t>
  </si>
  <si>
    <t>BS-M-IE001-37.01-Dec-2</t>
  </si>
  <si>
    <t>37.01:Emergency Lighting</t>
  </si>
  <si>
    <t>UK-THC-FL06-SEC-37.01-Emergency Light</t>
  </si>
  <si>
    <t>UK-THC-FL07-SEC-37.01-Emergency Light</t>
  </si>
  <si>
    <t>UK-THC-UG-SEC-37.01-Emergency Light-002</t>
  </si>
  <si>
    <t>UK-THC-FL05-SEC-37.01-Emergency Light-002</t>
  </si>
  <si>
    <t>UK-THC-FL04-SEC-37.01-Emergency Light-002</t>
  </si>
  <si>
    <t>UK-THC-FL04-SEC-37.01-Emergency Light-003</t>
  </si>
  <si>
    <t>UK-THC-FL05-SEC-37.01-Emergency Light-001</t>
  </si>
  <si>
    <t>UK-THC-FL03-SEC-37.01-Emergency Light</t>
  </si>
  <si>
    <t>UK-THC-FL04-SEC-37.01-Emergency Light-001</t>
  </si>
  <si>
    <t>UK-THC-LGND-SEC-37.01-Emergency Light</t>
  </si>
  <si>
    <t>UK-THC-UG-SEC-37.01-Emergency Light-001</t>
  </si>
  <si>
    <t>UK-THC-FL01-SEC-37.01-Emergency Light</t>
  </si>
  <si>
    <t>UK-THC-FL02-SEC-37.01-Emergency Light</t>
  </si>
  <si>
    <t>BS-M-IE001-NONSFG:CLN-Jun-1</t>
  </si>
  <si>
    <t>Dublin - WSC</t>
  </si>
  <si>
    <t>UK-THC-PHS Monthly Visit</t>
  </si>
  <si>
    <t>BS-M-IE001-88.50-Mar-1</t>
  </si>
  <si>
    <t>88.50:Walls and Partitions</t>
  </si>
  <si>
    <t>BE-M-IE001-23.09-Nov-2</t>
  </si>
  <si>
    <t>UK-THC-ALL-FEC-23.09-Fire Extinguisher, CO2</t>
  </si>
  <si>
    <t>ref line 185</t>
  </si>
  <si>
    <t>UK-THC-ALL-FEC-23.09-Fire Extinguisher, Foam</t>
  </si>
  <si>
    <t>BE-M-IE001-87.06-Nov-1</t>
  </si>
  <si>
    <t>UK-THC-ALL-FBL-87.06-Fire Blanket</t>
  </si>
  <si>
    <t>BE-M-IE001-16.03-Sep-2</t>
  </si>
  <si>
    <t>UK-THC-ALL-DDA-16.03-Fire / Smoke Dampers</t>
  </si>
  <si>
    <t>BE-M-IE001-23.17-Mar-1</t>
  </si>
  <si>
    <t>UK-THC-ALL-FDI-23.17-Fire Doors</t>
  </si>
  <si>
    <t>BE-M-IE001-40.01-Nov-1</t>
  </si>
  <si>
    <t>UK-THC-ALL-GPP-40.01-Valves &amp; Pipework - CWS &amp; HWS</t>
  </si>
  <si>
    <t>BE-M-IE001-32.02-Apr-1</t>
  </si>
  <si>
    <t>UK-THC-ALL-WSE-32.02-Hot &amp; Cold Water Services</t>
  </si>
  <si>
    <t>ref line 248</t>
  </si>
  <si>
    <t>Hot &amp; Cold Water Services</t>
  </si>
  <si>
    <t>Hair Dryer</t>
  </si>
  <si>
    <t>1M - DOne</t>
  </si>
  <si>
    <t>AED</t>
  </si>
  <si>
    <t>BE-M-IE001-26.01-Mar-1</t>
  </si>
  <si>
    <t>UK-THC-ALL-GRD-26.01-Grilles &amp; Diffusers</t>
  </si>
  <si>
    <t>BE-M-IE001-43.05-Aug-1</t>
  </si>
  <si>
    <t>UK-THC-FL04-UPS-43.05-UPS</t>
  </si>
  <si>
    <t>METARTEC</t>
  </si>
  <si>
    <t>P2011006738</t>
  </si>
  <si>
    <t>BE-M-IE001-40.13-May-1</t>
  </si>
  <si>
    <t>UK-THC-FL06-SFV-40.13-Master Gas Shut Off Panel</t>
  </si>
  <si>
    <t>VISTEC</t>
  </si>
  <si>
    <t>BE-M-IE001-54.03-Aug-2</t>
  </si>
  <si>
    <t>UK-THC-FL06-GAD-23.15-Gas Detection Alarm</t>
  </si>
  <si>
    <t>BE-M-IE001-17.02-Mar-1</t>
  </si>
  <si>
    <t>UK-THC-FL07-KEV-17.02-Extraction Hoods</t>
  </si>
  <si>
    <t>ENVRO HYGIENE</t>
  </si>
  <si>
    <t>BE-M-IE001-82.05-Sep-2</t>
  </si>
  <si>
    <t>UK-THC-FL07-SER-82.05-Dumb Waiter Lift</t>
  </si>
  <si>
    <t>KONE</t>
  </si>
  <si>
    <t>BE-M-IE001-34.01-Apr-1</t>
  </si>
  <si>
    <t>UK-THC-FL07-IMM-34.01-Ice machine</t>
  </si>
  <si>
    <t>BE-M-IE001-25.04-Feb-1</t>
  </si>
  <si>
    <t>UK-THC-FL07-DWC-25.04-Water Chiller</t>
  </si>
  <si>
    <t>BE-M-IE001-88.50-Jul-1</t>
  </si>
  <si>
    <t>UK-THC-LGND-WAP-88.50-Mechanical Filing System</t>
  </si>
  <si>
    <t>STORAGE SYSTEMS</t>
  </si>
  <si>
    <t>BE-M-IE001-44.02-Dec-1</t>
  </si>
  <si>
    <t>UK-THC-ROF-MSP-44.02-MCC Control Panel, MCC-01, With</t>
  </si>
  <si>
    <t>BE-M-IE001-45.01-Apr-1</t>
  </si>
  <si>
    <t>UK-THC-ROF-CIR-45.01-Pump, hot water return</t>
  </si>
  <si>
    <t>ref line 251</t>
  </si>
  <si>
    <t>BE-M-IE001-05.23-Oct-1</t>
  </si>
  <si>
    <t>UK-THC-ROF-FLU-05.23-Flu, Stainless</t>
  </si>
  <si>
    <t>NA</t>
  </si>
  <si>
    <t>BE-M-IE001-32.12-Nov-1</t>
  </si>
  <si>
    <t>UK-THC-ROF-EXV-32.12-Expansion Vessel,</t>
  </si>
  <si>
    <t>BE-M-IE001-28.01-May-1</t>
  </si>
  <si>
    <t>UK-THC-UG-HEE-28.01-Door Heater</t>
  </si>
  <si>
    <t>BE-M-IE001-NONSFG:AVE-Mar-1-AV Electrosonic:Audio Visual Equipment</t>
  </si>
  <si>
    <t>IE-THC-Audio Visual PM's</t>
  </si>
  <si>
    <t>The Station Building</t>
  </si>
  <si>
    <t>BS-M-IE001-36.03-Jul-2</t>
  </si>
  <si>
    <t>Dublin - Station building - M&amp;E PPM's</t>
  </si>
  <si>
    <t>UK-TSBD-ALL-FIT-36.03-Internal Light-004</t>
  </si>
  <si>
    <t>UK-TSBD-FL01-FIT-36.03-Internal Light</t>
  </si>
  <si>
    <t>UK-TSBD-MEZ-FIT-36.03-Inter Light</t>
  </si>
  <si>
    <t>UK-TSBD-ALL-FIT-36.03-Internal Light-001</t>
  </si>
  <si>
    <t>UK-TSBD-ALL-FIT-36.03-Internal Light-002</t>
  </si>
  <si>
    <t>UK-TSBD-ALL-FIT-36.03-Internal Light-003</t>
  </si>
  <si>
    <t>UK-TSBD-ALL-FIT-36.03-Internal Light</t>
  </si>
  <si>
    <t>UK-TSBD-FL01-DBD-14.22-Main Switch Panel, SDB2</t>
  </si>
  <si>
    <t>UK-TSBD-FL01-DBD-14.22-Main Switch Panel, SDB3</t>
  </si>
  <si>
    <t>14.22:Control Panels(Electrical Services)</t>
  </si>
  <si>
    <t>UK-TSBD-FL01-CPE-14.22-Main Switch Panel, SDB1</t>
  </si>
  <si>
    <t>UK-TSBD-MEZ-CPE-14.22-MCC Panel</t>
  </si>
  <si>
    <t>UK-TSBD-MEZ-CPE-14.22-MCC Control Pad</t>
  </si>
  <si>
    <t>UK-TSBD-FL01-CPE-14.22-Main Switch Panel, LV1</t>
  </si>
  <si>
    <t>BS-M-IE001-03.01-Mar-2</t>
  </si>
  <si>
    <t>UK-TSBD-MEZ-AHU-03.01-AHU 1</t>
  </si>
  <si>
    <t>UK-TSBD-MEZ-AHU-03.01-AHU 2</t>
  </si>
  <si>
    <t>BS-M-IE001-54.03-Mar-5</t>
  </si>
  <si>
    <t>UK-TSBD-MEZ-SHP-54.03-AC Split Wall Cassette-001</t>
  </si>
  <si>
    <t>UK-TSBD-FL01-SHP-54.03-AC Indoor Split Unit System 1</t>
  </si>
  <si>
    <t>UK-TSBD-ALL-SHP-54.03-AC Indoor Split Unit System 2</t>
  </si>
  <si>
    <t>UK-TSBD-ALL-SHP-54.03-AC Indoor Split Unit System 3</t>
  </si>
  <si>
    <t>UK-TSBD-ALL-SHP-54.03-AC Indoor Split Unit System 4</t>
  </si>
  <si>
    <t>UK-TSBD-ALL-SHP-54.03-AC Indoor Split Unit System 5</t>
  </si>
  <si>
    <t>UK-TSBD-ALL-SHP-54.03-AC Indoor Split Unit System 6</t>
  </si>
  <si>
    <t>UK-TSBD-ALL-SHP-54.03-AC Indoor Split Unit System 7</t>
  </si>
  <si>
    <t>UK-TSBD-ALL-SHP-54.03-AC Indoor Split Unit System 8</t>
  </si>
  <si>
    <t>UK-TSBD-ALL-SHP-54.03-AC Indoor Split Unit System 9</t>
  </si>
  <si>
    <t>UK-TSBD-ALL-SHP-54.03-AC Indoor Split Unit System 11</t>
  </si>
  <si>
    <t>UK-TSBD-ALL-SHP-54.03-AC Indoor Split Unit System 12</t>
  </si>
  <si>
    <t>UK-TSBD-MEZ-SHP-54.03-AC Split Wall Cassette-002</t>
  </si>
  <si>
    <t>BS-M-IE001-54.03-Mar-6</t>
  </si>
  <si>
    <t>UK-TSBD-FL01-CAC-54.03-AC Condenser, Heat Recovery Unit</t>
  </si>
  <si>
    <t>UK-TSBD-FL01-CAC-54.03-ACC Condenser, Platform Building System 1</t>
  </si>
  <si>
    <t>UK-TSBD-FL01-CAC-54.03-ACC Condenser, Platform Building System 2</t>
  </si>
  <si>
    <t>UK-TSBD-FL01-CAC-54.03-ACC Condenser, Platform Building System 3</t>
  </si>
  <si>
    <t>UK-TSBD-FL01-CAC-54.03-ACC Condenser, Platform Building System 10 Comms Room</t>
  </si>
  <si>
    <t>UK-TSBD-FL01-CAC-54.03-ACC Condenser, Platform Building System 11</t>
  </si>
  <si>
    <t>UK-TSBD-FL01-CAC-54.03-ACC Condenser, Platform Building System 12</t>
  </si>
  <si>
    <t>UK-TSBD-FL01-CAC-54.03-ACC Condenser, Platform Building System 4</t>
  </si>
  <si>
    <t>UK-TSBD-FL01-CAC-54.03-ACC Condenser, Platform Building System 7</t>
  </si>
  <si>
    <t>UK-TSBD-FL01-CAC-54.03-ACC Condenser, Platform Building System 8</t>
  </si>
  <si>
    <t>UK-TSBD-FL01-CAC-54.03-ACC Condenser, Platform Building System 9</t>
  </si>
  <si>
    <t>UK-TSBD-FL01-CAC-54.03-ACC Condenser, Platform Building System 5</t>
  </si>
  <si>
    <t>UK-TSBD-FL01-CAC-54.03-ACC Condenser, Platform Building System 6</t>
  </si>
  <si>
    <t>BS-M-IE001-45.01-Apr-3</t>
  </si>
  <si>
    <t>45.01:Circulating Pump</t>
  </si>
  <si>
    <t>ref line 540</t>
  </si>
  <si>
    <t>45.01:Circulating Pump/  Water Booster Set</t>
  </si>
  <si>
    <t>Dublin -Harcourt Centre - M&amp;E PPM's</t>
  </si>
  <si>
    <t>UK-TSBD-MEZ-CIR-45.01-PUMP 1 Heating Flow</t>
  </si>
  <si>
    <t>UK-TSBD-MEZ-CIR-45.01-PUMP 2 Heating Flow</t>
  </si>
  <si>
    <t>UK-TSBD-MEZ-CIR-45.01-Pump 3, Boiler 1</t>
  </si>
  <si>
    <t>UK-TSBD-MEZ-CIR-45.01-Pump 4, Boiler 2</t>
  </si>
  <si>
    <t>UK-TSBD-MEZ-CIR-45.01-Pump, Cold Water Booster Set</t>
  </si>
  <si>
    <t>UK-TSBD-MEZ-CIR-45.01-Pump, Secondary Hot Water</t>
  </si>
  <si>
    <t>BS-M-IE001-32.12-Jun-1</t>
  </si>
  <si>
    <t>32.12:Expansion Vessels</t>
  </si>
  <si>
    <t>UK-TSBD-MEZ-EXV-32.12-Expansion Vessel, DHW</t>
  </si>
  <si>
    <t>UK-TSBD-MEZ-EXV-32.12-Expansion Vessel, Heating System</t>
  </si>
  <si>
    <t>UK-TSBD-MEZ-EXV-32.12-Expansion Vessel, CWS Booster Set-002</t>
  </si>
  <si>
    <t>UK-TSBD-MEZ-EXV-32.12-Expansion Vessel, CWS Booster Set-001</t>
  </si>
  <si>
    <t>BS-M-IE001-56.02-Aug-1</t>
  </si>
  <si>
    <t>56.02:Tanks CWS</t>
  </si>
  <si>
    <t>UK-TSBD-MEZ-CWS-56.02-Water Tank 1</t>
  </si>
  <si>
    <t>UK-TSBD-MEZ-CWS-56.02-Water Tank 2</t>
  </si>
  <si>
    <t>BS-M-IE001-95.12-Apr-2</t>
  </si>
  <si>
    <t>UK-TSBD-MEZ-WHE-95.12-Water Heater</t>
  </si>
  <si>
    <t>UK-TSBD-FL01-WHE-95.12-Water Heater</t>
  </si>
  <si>
    <t>BS-M-IE001-51.01-Dec-1</t>
  </si>
  <si>
    <t>UK-TSBD-FL01-SHO-51.01-Shower-001</t>
  </si>
  <si>
    <t>UK-TSBD-FL01-SHO-51.01-Shower-002</t>
  </si>
  <si>
    <t>UK-TSBD-MEZ-SHO-51.01-Shower-001</t>
  </si>
  <si>
    <t>UK-TSBD-MEZ-SHO-51.01-Shower-002</t>
  </si>
  <si>
    <t>UK-TSBD-MEZ-SHO-51.01-Shower-003</t>
  </si>
  <si>
    <t>BS-M-IE001-65.10-May-1</t>
  </si>
  <si>
    <t>65.10:Water Treatment Chemical Dosing</t>
  </si>
  <si>
    <t>ESI</t>
  </si>
  <si>
    <t>UK-TSBD-MEZ-CHD-65.10-Dosing Pot, Boilers</t>
  </si>
  <si>
    <t>UK-TSBD-MEZ-CHD-65.10-Dosing Pot</t>
  </si>
  <si>
    <t>BS-M-IE001-87.06-Jun-1</t>
  </si>
  <si>
    <t>87.06:Fire Blankets</t>
  </si>
  <si>
    <t>ref line 554</t>
  </si>
  <si>
    <t>UK-TSBD-MEZ-FBL-87.06-Fire Blanket</t>
  </si>
  <si>
    <t>UK-TSBD-FL01-FBL-87.06-Fire Blanket</t>
  </si>
  <si>
    <t>BS-M-IE001-95.12-Feb-1</t>
  </si>
  <si>
    <t>UK-TSBD-MEZ-DWB-95.12-Drinking Water Boiler</t>
  </si>
  <si>
    <t>UK-TSBD-FL01-DWB-95.12-Drinking Water Boiler</t>
  </si>
  <si>
    <t>BS-M-IE001-14.20-Nov-1</t>
  </si>
  <si>
    <t>Good Fire &amp; Saftey</t>
  </si>
  <si>
    <t>UK-TSBD-FL01-EAA-14.20-Emergency Assistance Panel</t>
  </si>
  <si>
    <t>UK-TSBD-MEZ-EAA-14.20-Emergency Alarm</t>
  </si>
  <si>
    <t>UK-TSBD-FL01-EAA-14.20-Emergency Alarm</t>
  </si>
  <si>
    <t>BS-M-IE001-22.01-Jun-2</t>
  </si>
  <si>
    <t>6M,3M</t>
  </si>
  <si>
    <t>22.01:Fire Alarm System</t>
  </si>
  <si>
    <t>UK-TSBD-FL01-FAS-22.01-Fire Alarm Panel</t>
  </si>
  <si>
    <t>UK-TSBD-FL01-FAS-22.01-Fire Alarm Repeater Panel</t>
  </si>
  <si>
    <t>BS-M-IE001-05.23-Apr-1</t>
  </si>
  <si>
    <t>05.23:Boiler</t>
  </si>
  <si>
    <t>UK-TSBD-MEZ-GCB-05.23-Boiler 1</t>
  </si>
  <si>
    <t>UK-TSBD-MEZ-GCB-05.23-Boiler 2</t>
  </si>
  <si>
    <t>BS-M-IE001-18.02-May-1</t>
  </si>
  <si>
    <t>18.02:Hair Dryer</t>
  </si>
  <si>
    <t>UK-TSBD-FL01-HRD-18.02-Hair Dryer-002</t>
  </si>
  <si>
    <t>UK-TSBD-FL01-HRD-18.02-Hair Dryer-001</t>
  </si>
  <si>
    <t>BS-M-IE001-NONSFG:CLN-Jun-2</t>
  </si>
  <si>
    <t>UK-TSBD-PHS Monthly Visit</t>
  </si>
  <si>
    <t>BE-M-IE001-37.01-Dec-1</t>
  </si>
  <si>
    <t>UK-TSBD-ALL-SEC-37.01-Emergency Light</t>
  </si>
  <si>
    <t>BE-M-IE001-40.01-Mar-1</t>
  </si>
  <si>
    <t>UK-TSBD-ALL-GPP-40.01-Valves &amp; Pipework - CWS &amp; HWS</t>
  </si>
  <si>
    <t>Needed</t>
  </si>
  <si>
    <t>BE-M-IE001-14.19-Apr-1</t>
  </si>
  <si>
    <t>UK-TSBD-ALL-ASY-14.19-Access System</t>
  </si>
  <si>
    <t>ref line 263</t>
  </si>
  <si>
    <t>BE-M-IE001-88.04-Apr-1</t>
  </si>
  <si>
    <t>UK-TSBD-ALL-BFI-88.04-Building Fabric Inspections - Internal</t>
  </si>
  <si>
    <t>BE-M-IE001-05.23-Mar-1</t>
  </si>
  <si>
    <t>UK-TSBD-ALL-BFS-05.23-Boilers - Fire And Safety Circuits</t>
  </si>
  <si>
    <t>BE-M-IE001-32.02-Jan-1</t>
  </si>
  <si>
    <t>UK-TSBD-ALL-WSE-32.02-Hot &amp; Cold Water Services</t>
  </si>
  <si>
    <t>BE-M-IE001-59.06-Mar-1</t>
  </si>
  <si>
    <t>UK-TSBD-ALL-FAC-59.06-Fan Coil Units</t>
  </si>
  <si>
    <t>BE-M-IE001-23.17-Oct-1</t>
  </si>
  <si>
    <t>UK-TSBD-ALL-FDI-23.17-Fire Doors</t>
  </si>
  <si>
    <t>BE-M-IE001-23.09-Jun-1</t>
  </si>
  <si>
    <t>UK-TSBD-ALL-FEC-23.09-Fire Extinguisher, CO2</t>
  </si>
  <si>
    <t>BE-M-IE001-23.11-Jun-1</t>
  </si>
  <si>
    <t>UK-TSBD-ALL-FEP-23.11-Fire Extinguisher, Powder</t>
  </si>
  <si>
    <t xml:space="preserve">Dublin </t>
  </si>
  <si>
    <t>Main Switch Panel - sub distribution boards</t>
  </si>
  <si>
    <t>BE-M-IE001-16.03-Sep-1</t>
  </si>
  <si>
    <t>UK-TSBD-ALL-DDA-16.03-Fire / Smoke Dampers</t>
  </si>
  <si>
    <t>BE-M-IE001-82.05-Sep-1</t>
  </si>
  <si>
    <t>UK-TSBD-FL01-PSS-82.05-Lift</t>
  </si>
  <si>
    <t>SCHINDLER</t>
  </si>
  <si>
    <t>P201851662</t>
  </si>
  <si>
    <t>€463.52</t>
  </si>
  <si>
    <t>BE-M-IE001-45.01-Apr-2</t>
  </si>
  <si>
    <t>UK-TSBD-MEZ-VES-45.01-Pump, Cold Water Booster Set</t>
  </si>
  <si>
    <t>BE-M-IE001-54.03-Aug-1</t>
  </si>
  <si>
    <t>UK-TSBD-MEZ-GAD-23.15-Gas Detection Panel</t>
  </si>
  <si>
    <t>P201861804</t>
  </si>
  <si>
    <t>BE-M-IE001-03.01-May-1</t>
  </si>
  <si>
    <t>UK-TSBD-MEZ-ECS-03.01-Fan Control, Toilet</t>
  </si>
  <si>
    <t>BE-M-IE001-40.01-Apr-1</t>
  </si>
  <si>
    <t>UK-TSBD-MEZ-SOL-40.01-Gas Solenoid Valve</t>
  </si>
  <si>
    <t>BE-M-IE001-40.25-Apr-1</t>
  </si>
  <si>
    <t>UK-TSBD-MEZ-PRP-40.25-Pressurisation Unit</t>
  </si>
  <si>
    <t>BE-M-IE001-32.07-Apr-1</t>
  </si>
  <si>
    <t>UK-TSBD-MEZ-CHW-32.07-Hot Water Cylinder</t>
  </si>
  <si>
    <t>BE-M-IE001-49.02-Mar-1</t>
  </si>
  <si>
    <t>UK-TSBD-MEZ-CTV-49.02-CCTV</t>
  </si>
  <si>
    <t>BE-M-IE001-NONSFG:AVE-Mar-2-AV Electrosonic:Audio Visual Equipment</t>
  </si>
  <si>
    <t>IE-TSBD-Audio Visual PM's</t>
  </si>
  <si>
    <t>Galway</t>
  </si>
  <si>
    <t>Hibernian House</t>
  </si>
  <si>
    <t>BS-R-HIB-14.22-Oct-1</t>
  </si>
  <si>
    <t>UK-HBH-FL01-DBD-14.22-DB, AC DB</t>
  </si>
  <si>
    <t>UK-HBH-FL01-DBD-14.22-DB, SDB FF/1, Main Switch Panel</t>
  </si>
  <si>
    <t>Galway - M&amp;E PPM's</t>
  </si>
  <si>
    <t>BS-R-HIB-54.03-May-2</t>
  </si>
  <si>
    <t>UK-HBH-FL01-SHP-54.03-AC Indoor Split Ceiling Cassette 6</t>
  </si>
  <si>
    <t>UK-HBH-FL01-SHP-54.03-AC Indoor Split Ceiling Cassette 7</t>
  </si>
  <si>
    <t>UK-HBH-FL01-SHP-54.03-AC Indoor Split Ceiling Cassette 8</t>
  </si>
  <si>
    <t>UK-HBH-FL01-SHP-54.03-AC Indoor Split Ceiling Cassette 9</t>
  </si>
  <si>
    <t>UK-HBH-FL01-SHP-54.03-AC Indoor Split Ceiling Cassette 10</t>
  </si>
  <si>
    <t>UK-HBH-FL01-SHP-54.03-AC Indoor Split Ceiling Cassette 11</t>
  </si>
  <si>
    <t>UK-HBH-FL01-SHP-54.03-AC Indoor Split Ceiling Cassette 12</t>
  </si>
  <si>
    <t>UK-HBH-FL01-SHP-54.03-AC Indoor Split Ceiling Cassette 13</t>
  </si>
  <si>
    <t>UK-HBH-FL01-SHP-54.03-AC Indoor Split Ceiling Cassette 14</t>
  </si>
  <si>
    <t>UK-HBH-FL01-SHP-54.03-AC Indoor Split Ceiling Cassette 1</t>
  </si>
  <si>
    <t>UK-HBH-FL01-SHP-54.03-AC Indoor Split Ceiling Cassette 2</t>
  </si>
  <si>
    <t>UK-HBH-FL01-SHP-54.03-AC Indoor Split Ceiling Cassette 3</t>
  </si>
  <si>
    <t>UK-HBH-FL01-SHP-54.03-AC Indoor Split Ceiling Cassette 4</t>
  </si>
  <si>
    <t>UK-HBH-FL01-SHP-54.03-AC Indoor Split Ceiling Cassette 5</t>
  </si>
  <si>
    <t>BS-R-HIB-54.03-May-1</t>
  </si>
  <si>
    <t>ref line 582</t>
  </si>
  <si>
    <t>UK-HBH-FL01-CAC-54.03-AC Condenser Unit 8</t>
  </si>
  <si>
    <t>UK-HBH-FL01-CAC-54.03-AC Condenser Unit 9</t>
  </si>
  <si>
    <t>UK-HBH-FL01-CAC-54.03-AC Condenser Unit 1</t>
  </si>
  <si>
    <t>UK-HBH-FL01-CAC-54.03-AC Condenser Unit 2</t>
  </si>
  <si>
    <t>UK-HBH-FL01-CAC-54.03-AC Condenser Unit 3</t>
  </si>
  <si>
    <t>UK-HBH-FL01-CAC-54.03-AC Condenser Unit 4</t>
  </si>
  <si>
    <t>UK-HBH-FL01-CAC-54.03-AC Condenser Unit 5</t>
  </si>
  <si>
    <t>UK-HBH-FL01-CAC-54.03-AC Condenser Unit 6</t>
  </si>
  <si>
    <t>UK-HBH-FL01-CAC-54.03-AC Condenser Unit 10</t>
  </si>
  <si>
    <t>UK-HBH-FL01-CAC-54.03-AC Condenser Unit 11</t>
  </si>
  <si>
    <t>UK-HBH-FL01-CAC-54.03-AC Condenser Unit 12</t>
  </si>
  <si>
    <t>UK-HBH-FL01-CAC-54.03-AC Condenser Unit 13</t>
  </si>
  <si>
    <t>UK-HBH-FL01-CAC-54.03-AC Condenser Comms</t>
  </si>
  <si>
    <t>UK-HBH-FL01-CAC-54.03-AC Condenser</t>
  </si>
  <si>
    <t>UK-HBH-FL01-CAC-54.03-AC Condenser Unit 7</t>
  </si>
  <si>
    <t>BE-R-HIB-95.12-Apr-1</t>
  </si>
  <si>
    <t>UK-HBH-FL01-DWB-95.12-Zip:Drinking Water Boiler:1st Floor</t>
  </si>
  <si>
    <t>BE-R-HIB-32.02-Dec-1</t>
  </si>
  <si>
    <t>UK-HBH-FL01-WSE-32.02-Hot &amp; Cold Water Services</t>
  </si>
  <si>
    <t>BE-R-HIB-40.01-Dec-1</t>
  </si>
  <si>
    <t>UK-HBH-FL01-GPP-40.01-Valves &amp; Pipework - CWS &amp; HWS</t>
  </si>
  <si>
    <t>BE-R-HIB-14.19-Mar-1</t>
  </si>
  <si>
    <t>UK-HBH-FL01-ASY-14.19-Security Access System</t>
  </si>
  <si>
    <t>BE-R-HIB-29.09-Nov-1</t>
  </si>
  <si>
    <t>UK-HBH-FL01-PRC-29.03-Heat Recovery Unit</t>
  </si>
  <si>
    <t>BE-R-HIB-37.01-Jul-1</t>
  </si>
  <si>
    <t>UK-HBH-FL01-SEC-37.01-Emergency Light</t>
  </si>
  <si>
    <t>BE-R-HIB-49.02-Mar-1</t>
  </si>
  <si>
    <t>UK-HBH-FL01-CTV-49.02-CCTV</t>
  </si>
  <si>
    <t>BE-R-HIB-25.04-Feb-1</t>
  </si>
  <si>
    <t>UK-HBH-FL01-FCP-25.04-Water Filter</t>
  </si>
  <si>
    <t>BE-R-HIB-23.17-Dec-1</t>
  </si>
  <si>
    <t>UK-HBH-FL01-FDI-23.17-Fire Doors</t>
  </si>
  <si>
    <t>BE-R-HIB-23.09-Jun-1</t>
  </si>
  <si>
    <t>UK-HBH-FL01-FEC-23.09-Fire Extinguisher, CO2</t>
  </si>
  <si>
    <t>BE-R-HIB-23.10-Jun-1</t>
  </si>
  <si>
    <t>UK-HBH-FL01-FEF-23.10-Fire Extinguisher, Foam</t>
  </si>
  <si>
    <t>ref line 622</t>
  </si>
  <si>
    <t>BE-R-HIB-20.08-Oct-1</t>
  </si>
  <si>
    <t>UK-HBH-FL01-FEX-20.08-Extractor</t>
  </si>
  <si>
    <t>BE-R-HIB-NONSFG:DMF-Aug-1</t>
  </si>
  <si>
    <t>UK-HBH-FL01-DMF-Non SFG-Dishwasher</t>
  </si>
  <si>
    <t>BE-R-HIB-NONSFG:AVE-Aug-1-AV Audio Visual Equipment</t>
  </si>
  <si>
    <t xml:space="preserve">IE-HIB-Audio Visual PM's </t>
  </si>
  <si>
    <t>Limerick</t>
  </si>
  <si>
    <t>Riverview House</t>
  </si>
  <si>
    <t>BS-R-IE003-22.01-Feb-1</t>
  </si>
  <si>
    <t>Riverview House - Limerick - M&amp;E PPM's</t>
  </si>
  <si>
    <t>P201865515</t>
  </si>
  <si>
    <t>€1470.00</t>
  </si>
  <si>
    <t>UK-RVH-FL01-FAS-22.01-Fire Alarm Panel Repeater</t>
  </si>
  <si>
    <t>UK-RVH-FL01-FAS-22.01-Main Fire Panel</t>
  </si>
  <si>
    <t>BS-R-IE003-54.03-May-3</t>
  </si>
  <si>
    <t>UK-RVH-FL01-SHP-54.03-AC Indoor Split Unit</t>
  </si>
  <si>
    <t>UK-RVH-FL01-SHP-54.03-AC Indoor Split Fan Coil Unit</t>
  </si>
  <si>
    <t>BS-R-IE003-54.03-Feb-1</t>
  </si>
  <si>
    <t>54.03:VRV System</t>
  </si>
  <si>
    <t>VRV System/ Mitsubishi</t>
  </si>
  <si>
    <t>Mitsubishi</t>
  </si>
  <si>
    <t>UK-RVH-FL01-VRV-54.03-AC VRV Condenser Unit System 2 Master AC 09-16</t>
  </si>
  <si>
    <t>UK-RVH-FL01-VRV-54.03-AC VRV Condenser Unit System 1 AC 01-08</t>
  </si>
  <si>
    <t>UK-RVH-FL01-VRV-54.03-AC VRV Condenser Unit System 2 Slave</t>
  </si>
  <si>
    <t>BS-R-IE003-28.01-Jul-1</t>
  </si>
  <si>
    <t>28.01:Heat Emitters/ Hand Dryer</t>
  </si>
  <si>
    <t>I don't know what this is?</t>
  </si>
  <si>
    <t>UK-RVH-FL01-HEE-28.01-Shower, Electric</t>
  </si>
  <si>
    <t>UK-RVH-FL01-HEE-28.01-Electric Heater-Disabled Toliet</t>
  </si>
  <si>
    <t>UK-RVH-FL01-HEE-28.01-Electric Heater-Gents Toilet</t>
  </si>
  <si>
    <t>UK-RVH-FL01-HEE-28.01-Electric Heater-Ladies Toilet</t>
  </si>
  <si>
    <t>UK-RVH-FL01-HEE-28.01-Electric Heater-Bin Store</t>
  </si>
  <si>
    <t>BS-R-IE003-18.02-Jul-1</t>
  </si>
  <si>
    <t>UK-RVH-FL01-HRD-18.02-Hair Dryer-001</t>
  </si>
  <si>
    <t>UK-RVH-FL01-HRD-18.02-Hair Dryer-002</t>
  </si>
  <si>
    <t>UK-RVH-FL01-HRD-18.02-Hair Dryer-003</t>
  </si>
  <si>
    <t>BS-R-IE003-45.12-Jul-1</t>
  </si>
  <si>
    <t>45.12:Booster Sets CWS</t>
  </si>
  <si>
    <t>Limerick - WSC</t>
  </si>
  <si>
    <t>UK-RVH-FL01-PBS-45.12-Booster Pump</t>
  </si>
  <si>
    <t>UK-RVH-FL01-PBS-45.12-CWS Booster Pump</t>
  </si>
  <si>
    <t>BS-R-IE003-95.12-Jul-1</t>
  </si>
  <si>
    <t>UK-RVH-FL01-WHE-95.12-Wall Heater</t>
  </si>
  <si>
    <t>UK-RVH-FL01-WHE-95.12-Water Heater-001</t>
  </si>
  <si>
    <t>UK-RVH-FL01-WHE-95.12-Water Heater-002</t>
  </si>
  <si>
    <t>UK-RVH-FL01-WHE-95.12-Water Heater-003</t>
  </si>
  <si>
    <t>UK-RVH-FL01-WHE-95.12-Water Heater-004</t>
  </si>
  <si>
    <t>BS-R-IE003-14.19-Feb-1</t>
  </si>
  <si>
    <t>Access Control System</t>
  </si>
  <si>
    <t>UK-RVH-FL01-ASY-14.19-Access Control System-001</t>
  </si>
  <si>
    <t>UK-RVH-FL01-ASY-14.19-Access Control System-002</t>
  </si>
  <si>
    <t>BS-R-IE003-NONSFG:CLN-Jun-1</t>
  </si>
  <si>
    <t>UK-RVH-PHS Monthly Visit</t>
  </si>
  <si>
    <t>BS-R-IE003-95.12-Feb-2</t>
  </si>
  <si>
    <t>UK-RVH-FL01-DWB-95.12-Drinking Water Boiler:Canteen</t>
  </si>
  <si>
    <t>BE-R-IE003-26.01-May-1</t>
  </si>
  <si>
    <t>UK-RVH-FL01-GRD-26.01-Grilles &amp; Diffusers</t>
  </si>
  <si>
    <t>BE-R-IE003-14.22-Jul-1</t>
  </si>
  <si>
    <t>UK-RVH-FL01-BBS-14.22-Bus bar</t>
  </si>
  <si>
    <t>BE-R-IE003-54.03-Nov-1</t>
  </si>
  <si>
    <t>UK-RVH-FL01-CAC-54.03-AC Condenser Comms Rom</t>
  </si>
  <si>
    <t>BE-R-IE003-54.03-May-2</t>
  </si>
  <si>
    <t>UK-RVH-FL01-CIR-54.03-AC Condensate Pump</t>
  </si>
  <si>
    <t>ref line 683</t>
  </si>
  <si>
    <t>BE-R-IE003-56.02-Jul-1</t>
  </si>
  <si>
    <t>UK-RVH-FL01-CWS-56.02-Water Tanks</t>
  </si>
  <si>
    <t>BE-R-IE003-14.22-Oct-2</t>
  </si>
  <si>
    <t>UK-RVH-FL01-DBD-14.22-DB, Unknown</t>
  </si>
  <si>
    <t>BE-R-IE003-87.06-Jun-1</t>
  </si>
  <si>
    <t>UK-RVH-FL01-FBL-87.06-Fire Blanket</t>
  </si>
  <si>
    <t>BE-R-IE003-14.20-Jun-1</t>
  </si>
  <si>
    <t>UK-RVH-FL01-EAA-14.20-Emergency Assistance Alarm</t>
  </si>
  <si>
    <t>BE-R-IE006-22.01-Feb-1</t>
  </si>
  <si>
    <t>Site wide building - Eddie in G4S</t>
  </si>
  <si>
    <t>BE-R-IE003-32.02-Jun-1</t>
  </si>
  <si>
    <t>UK-RVH-FL01-WSE-32.02-Hot &amp; Cold Water Services</t>
  </si>
  <si>
    <t>BE-R-IE003-40.01-Jul-1</t>
  </si>
  <si>
    <t>UK-RVH-FL01-GPP-40.01-Valves &amp; Pipework - CWS &amp; HWS</t>
  </si>
  <si>
    <t>BE-R-IE003-35.01-Jul-1</t>
  </si>
  <si>
    <t>UK-RVH-FL01-THI-35.01-Thermal Insulation</t>
  </si>
  <si>
    <t>ref line 692</t>
  </si>
  <si>
    <t>Fan Heaters/Panel Heaters</t>
  </si>
  <si>
    <t>BE-R-IE003-23.17-Jun-1</t>
  </si>
  <si>
    <t>UK-RVH-FL01-FDI-23.17-Fire Doors</t>
  </si>
  <si>
    <t>BE-R-IE003-23.09-Jun-1</t>
  </si>
  <si>
    <t>UK-RVH-FL01-FEC-23.09-Fire Extinguisher, CO2</t>
  </si>
  <si>
    <t>ref line 678</t>
  </si>
  <si>
    <t>BE-R-IE003-23.10-Jun-1</t>
  </si>
  <si>
    <t>UK-RVH-FL01-FEF-23.10-Fire Extinguisher, Foam</t>
  </si>
  <si>
    <t>ref line 688</t>
  </si>
  <si>
    <t>BE-R-IE003-20.08-Nov-1</t>
  </si>
  <si>
    <t>UK-RVH-FL01-FEX-20.08-Toilet Extractor</t>
  </si>
  <si>
    <t>BE-R-IE003-29.03-Jul-1</t>
  </si>
  <si>
    <t>UK-RVH-FL01-PRC-29.03-Coffee Percolator</t>
  </si>
  <si>
    <t>BE-R-IE003-82.05-Feb-1</t>
  </si>
  <si>
    <t>UK-RVH-FL01-PSS-82.05-Lift</t>
  </si>
  <si>
    <t>BE-R-IE003-29.05-May-1</t>
  </si>
  <si>
    <t>UK-RVH-FL01-HRC-29.05-Heat Recovery Unit</t>
  </si>
  <si>
    <t>BE-R-IE003-51.01-Jul-1</t>
  </si>
  <si>
    <t>12M,3M</t>
  </si>
  <si>
    <t>UK-RVH-FL01-SBP-51.01-Showers, Electric</t>
  </si>
  <si>
    <t>ref line 698</t>
  </si>
  <si>
    <t>BE-R-IE003-37.01-Aug-1</t>
  </si>
  <si>
    <t>UK-RVH-FL01-SEC-37.01-Emergency Light</t>
  </si>
  <si>
    <t>BE-R-IE003-44.11-Aug-1</t>
  </si>
  <si>
    <t>UK-RVH-FL01-INT-44.11-Inter Com</t>
  </si>
  <si>
    <t>BE-R-IE003-44.02-Jul-1</t>
  </si>
  <si>
    <t>UK-RVH-FL01-MSP-44.02-Main Electric Distribution Panel</t>
  </si>
  <si>
    <t>BE-R-IE003-14.24-Nov-1</t>
  </si>
  <si>
    <t>UK-RVH-FL01-UWD-14.24-Leak Detection</t>
  </si>
  <si>
    <t>BE-R-IE003-16.03-Nov-1</t>
  </si>
  <si>
    <t>UK-RVH-FL01-DDA-16.03-Fire / Smoke Dampers</t>
  </si>
  <si>
    <t>BE-R-IE003-49.02-Feb-1</t>
  </si>
  <si>
    <t>BE-R-IE003-NONSFG:AVE-Sep-1-AV Electrosonic:Audio Visual Equipment</t>
  </si>
  <si>
    <t>IE-RVH-Audio Visual PM's</t>
  </si>
  <si>
    <t>BE-R-IE003-49.01-Feb-1</t>
  </si>
  <si>
    <t>Includes in house managed services and outsourced services</t>
  </si>
  <si>
    <t>Totals</t>
  </si>
  <si>
    <t>PPM to be added to Planner</t>
  </si>
  <si>
    <t>Urinal Flush</t>
  </si>
  <si>
    <t>PHS - Femme Hygiene</t>
  </si>
  <si>
    <t>Fire Walks</t>
  </si>
  <si>
    <t>PAT Testing</t>
  </si>
  <si>
    <t xml:space="preserve">Pest C0ntrol </t>
  </si>
  <si>
    <t>FWT</t>
  </si>
  <si>
    <t>EV Chargers Dublin</t>
  </si>
  <si>
    <t>Cableplan - Lighting BMS</t>
  </si>
  <si>
    <t>Barista coffee machine</t>
  </si>
  <si>
    <t>Confindential Shredding</t>
  </si>
  <si>
    <t>L8 Temps</t>
  </si>
  <si>
    <t>Building/ Site</t>
  </si>
  <si>
    <t>Janaury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</si>
  <si>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</si>
  <si>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</si>
  <si>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</si>
  <si>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</si>
  <si>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</si>
  <si>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</si>
  <si>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</si>
  <si>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</si>
  <si>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</si>
  <si>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</si>
  <si>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Count</t>
  </si>
  <si>
    <t>ACHV</t>
  </si>
  <si>
    <t>%</t>
  </si>
  <si>
    <t>Dublin - Station Building</t>
  </si>
  <si>
    <t>Dublin - Harcourt Centre</t>
  </si>
  <si>
    <t>Galway - Hibernian House</t>
  </si>
  <si>
    <t>Waterford - The Atrium</t>
  </si>
  <si>
    <t>Cork - City Quarter</t>
  </si>
  <si>
    <t>Limerick - Riverview House</t>
  </si>
  <si>
    <t>Total</t>
  </si>
  <si>
    <t>Month</t>
  </si>
  <si>
    <t>% ACHV</t>
  </si>
  <si>
    <t>January</t>
  </si>
  <si>
    <t>Percentage Completion</t>
  </si>
  <si>
    <t xml:space="preserve">Service </t>
  </si>
  <si>
    <t>Current Supplier</t>
  </si>
  <si>
    <t>New Supplier</t>
  </si>
  <si>
    <t xml:space="preserve">Visit Frequency </t>
  </si>
  <si>
    <t>Costs</t>
  </si>
  <si>
    <t>ISS TECH SERVICES</t>
  </si>
  <si>
    <t>BEL</t>
  </si>
  <si>
    <t>ISS Tech Services</t>
  </si>
  <si>
    <t>Removed</t>
  </si>
  <si>
    <t>DUB TECH</t>
  </si>
  <si>
    <t>GLOBOSERV</t>
  </si>
  <si>
    <t xml:space="preserve">Masterchoice </t>
  </si>
  <si>
    <t>ZIP</t>
  </si>
  <si>
    <t>BMS</t>
  </si>
  <si>
    <t>Ashdown</t>
  </si>
  <si>
    <t>DGM</t>
  </si>
  <si>
    <t>Access Control</t>
  </si>
  <si>
    <t xml:space="preserve">Removed </t>
  </si>
  <si>
    <t>29.03:Plate Recuperator</t>
  </si>
  <si>
    <t>Leak Detection System</t>
  </si>
  <si>
    <t>54.03:Split Systems / Heatpumps 002</t>
  </si>
  <si>
    <t>Fire Doors</t>
  </si>
  <si>
    <t>Emergency Light</t>
  </si>
  <si>
    <t>Ducting including Fire Dampers</t>
  </si>
  <si>
    <t xml:space="preserve">Not included </t>
  </si>
  <si>
    <t>14.22:Distribution Boards (DB's) SB</t>
  </si>
  <si>
    <t>Fan Coils</t>
  </si>
  <si>
    <t>14.22:Control Panels(Electrical Services) SB</t>
  </si>
  <si>
    <t>Fire Extinguisher, Foam</t>
  </si>
  <si>
    <t>03.01:Air Handling Units SB</t>
  </si>
  <si>
    <t>Fire Extinguishers CO2</t>
  </si>
  <si>
    <t>54.03:Split Systems / Heatpumps SB</t>
  </si>
  <si>
    <t>54.03:Condensers Air Cooled SB</t>
  </si>
  <si>
    <t>45.01:Circulating Pump SB</t>
  </si>
  <si>
    <t>32.12:Expansion Vessels SB</t>
  </si>
  <si>
    <t>56.02:Tanks CWS SB</t>
  </si>
  <si>
    <t>HBE</t>
  </si>
  <si>
    <t>95.12:Water Heaters Packaged Electric SB</t>
  </si>
  <si>
    <t>51.01:Showers SB</t>
  </si>
  <si>
    <t>05.23:Boiler SB</t>
  </si>
  <si>
    <t>FSI</t>
  </si>
  <si>
    <t>Good Fire &amp; Safety</t>
  </si>
  <si>
    <t>Zip:Drinking Water Boiler:1st Floor</t>
  </si>
  <si>
    <t>Zip</t>
  </si>
  <si>
    <t>AMBER FIRE</t>
  </si>
  <si>
    <t>Valves &amp; Pipework - CWS &amp; HWS</t>
  </si>
  <si>
    <t>Heat Recovery Unit</t>
  </si>
  <si>
    <t>71.06:Grease / Oil Separators (Greasheild)</t>
  </si>
  <si>
    <t>DRAIN DOCTOR</t>
  </si>
  <si>
    <t>FM environmental</t>
  </si>
  <si>
    <t>20.08:Extract Fans (cleaning)</t>
  </si>
  <si>
    <t>Ashdown Controls</t>
  </si>
  <si>
    <t>Security Access System</t>
  </si>
  <si>
    <t xml:space="preserve"> Access System</t>
  </si>
  <si>
    <t>CCTV</t>
  </si>
  <si>
    <t>Master Choice</t>
  </si>
  <si>
    <t>Water Filter</t>
  </si>
  <si>
    <t>65.10:Water Treatment Chemical Dosing SB</t>
  </si>
  <si>
    <t>Fire Extinguisher, CO2</t>
  </si>
  <si>
    <t>14.20:Emergency Assistance Alarms/leak detection SB</t>
  </si>
  <si>
    <t>Extractor (not duct cleaning)</t>
  </si>
  <si>
    <t>22.01:Fire Alarm System (Station House)</t>
  </si>
  <si>
    <t xml:space="preserve">Total </t>
  </si>
  <si>
    <t>23.13:Fire Extinguishers Water (Station House)</t>
  </si>
  <si>
    <t>General Operative 1 day a week</t>
  </si>
  <si>
    <t>48 (Days)</t>
  </si>
  <si>
    <t>28.01:Heat Emitters (electric heaters)</t>
  </si>
  <si>
    <t>Grilles &amp; Diffusers</t>
  </si>
  <si>
    <t>Main Incoming Switch Panel</t>
  </si>
  <si>
    <t>Bus bar</t>
  </si>
  <si>
    <t>PIR Occupancy Lighting Sensors</t>
  </si>
  <si>
    <t>AC Condenser Comms Rom</t>
  </si>
  <si>
    <t>AC Condensate Pump</t>
  </si>
  <si>
    <t>CCTV System</t>
  </si>
  <si>
    <t>Emergency Alarm System</t>
  </si>
  <si>
    <t>Main Electric Distribution Panel</t>
  </si>
  <si>
    <t>Water Tanks</t>
  </si>
  <si>
    <t>Thermal Insulation</t>
  </si>
  <si>
    <t>Fire Blanket</t>
  </si>
  <si>
    <t>Leak Detection</t>
  </si>
  <si>
    <t>Toilet Extractor</t>
  </si>
  <si>
    <t>Zip:Drinking Water Boiler:1st Canteen</t>
  </si>
  <si>
    <t>Shower, Electric</t>
  </si>
  <si>
    <t>Inter Com</t>
  </si>
  <si>
    <t>Fire / Smoke Dampers</t>
  </si>
  <si>
    <t>CCTV System and Cameras</t>
  </si>
  <si>
    <t>Intruder Alarm</t>
  </si>
  <si>
    <t>G4S Fire</t>
  </si>
  <si>
    <t>Access Systems (Door Access Control)</t>
  </si>
  <si>
    <t>Emergency Assistance Alarm</t>
  </si>
  <si>
    <t>Lift</t>
  </si>
  <si>
    <t>Costing Service Stream</t>
  </si>
  <si>
    <t>SubCategory</t>
  </si>
  <si>
    <t>Description</t>
  </si>
  <si>
    <t>Supplier</t>
  </si>
  <si>
    <t>Cost 2024</t>
  </si>
  <si>
    <t>Cost 2025</t>
  </si>
  <si>
    <t>WS1</t>
  </si>
  <si>
    <t>281,</t>
  </si>
  <si>
    <t>WS2</t>
  </si>
  <si>
    <t>Cleaning Services</t>
  </si>
  <si>
    <t>Cleaning Staff / Deep Cleans and Periodic Cleans including waste management services</t>
  </si>
  <si>
    <t> </t>
  </si>
  <si>
    <t>WS3</t>
  </si>
  <si>
    <t>Food Services</t>
  </si>
  <si>
    <t>Applied to Labour Only. Hopitality and Free Issues are adhoc</t>
  </si>
  <si>
    <t>WS4</t>
  </si>
  <si>
    <t>Office Services</t>
  </si>
  <si>
    <t>Staffing Costs for Dublin and Regional WPC Team</t>
  </si>
  <si>
    <t>WS5</t>
  </si>
  <si>
    <t>Security Services</t>
  </si>
  <si>
    <t>Including Manguarding, CCTV, Access Control, Patrol/Response and Intruder Alarm</t>
  </si>
  <si>
    <t>WPM</t>
  </si>
  <si>
    <t>Management Services</t>
  </si>
  <si>
    <t>WPM, Account Management (IT, H&amp;S, KAM, Burden)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</si>
</sst>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€&quot;#,##0.00"/>
    <numFmt numFmtId="165" formatCode="0.0%"/>
    <numFmt numFmtId="166" formatCode="_-[$€-2]\ * #,##0.00_-;\-[$€-2]\ * #,##0.00_-;_-[$€-2]\ * &quot;-&quot;??_-;_-@_-"/>
    <numFmt numFmtId="167" formatCode="_(* #,##0_);_(* \(#,##0\);_(* &quot;-&quot;??_);_(@_)"/>
  </numFmts>
  <fonts count="36" x14ac:knownFonts="1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rgb="FFDBDBDB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trike/>
      <sz val="12"/>
      <color rgb="FFFFFFFF"/>
      <name val="Calibri"/>
      <family val="2"/>
      <scheme val="minor"/>
    </font>
    <font>
      <strike/>
      <sz val="12"/>
      <color rgb="FF000000"/>
      <name val="Calibri"/>
      <family val="2"/>
      <scheme val="minor"/>
    </font>
    <font>
      <b/>
      <sz val="12"/>
      <color theme="0"/>
      <name val="Calibri"/>
      <family val="2"/>
      <charset val="1"/>
    </font>
    <font>
      <b/>
      <sz val="12"/>
      <color theme="0"/>
      <name val="Calibri"/>
      <family val="2"/>
    </font>
    <font>
      <b/>
      <sz val="36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  <font>
      <b/>
      <sz val="12"/>
      <color rgb="FFFFC000"/>
      <name val="Calibri"/>
      <scheme val="minor"/>
    </font>
    <font>
      <sz val="12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FFFF"/>
      <name val="Calibri"/>
      <scheme val="minor"/>
    </font>
    <font>
      <b/>
      <sz val="9"/>
      <color theme="1" tint="0.499984740745262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rgb="FFFF0000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C7EFCE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9" fontId="14" fillId="0" borderId="0" applyFont="0" applyFill="0" applyBorder="0" applyAlignment="0" applyProtection="0"/>
    <xf numFmtId="0" fontId="34" fillId="0" borderId="0" applyNumberFormat="0" applyFill="0" applyBorder="0" applyAlignment="0" applyProtection="0"/>
  </cellStyleXfs>
  <cellXfs count="30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6" fillId="12" borderId="15" xfId="0" applyFont="1" applyFill="1" applyBorder="1" applyAlignment="1">
      <alignment wrapText="1"/>
    </xf>
    <xf numFmtId="0" fontId="1" fillId="0" borderId="15" xfId="0" applyFont="1" applyBorder="1" applyAlignment="1">
      <alignment wrapText="1"/>
    </xf>
    <xf numFmtId="0" fontId="2" fillId="0" borderId="0" xfId="0" applyFont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3" xfId="0" applyFont="1" applyBorder="1" applyAlignment="1">
      <alignment horizontal="left" wrapText="1"/>
    </xf>
    <xf numFmtId="0" fontId="1" fillId="0" borderId="15" xfId="0" applyFont="1" applyBorder="1" applyAlignment="1">
      <alignment horizontal="left" wrapText="1"/>
    </xf>
    <xf numFmtId="0" fontId="6" fillId="12" borderId="15" xfId="0" applyFont="1" applyFill="1" applyBorder="1" applyAlignment="1">
      <alignment horizontal="left" wrapText="1"/>
    </xf>
    <xf numFmtId="0" fontId="1" fillId="0" borderId="17" xfId="0" applyFont="1" applyBorder="1" applyAlignment="1">
      <alignment horizontal="left" wrapText="1"/>
    </xf>
    <xf numFmtId="0" fontId="17" fillId="0" borderId="0" xfId="0" applyFont="1"/>
    <xf numFmtId="164" fontId="0" fillId="0" borderId="0" xfId="0" applyNumberFormat="1"/>
    <xf numFmtId="0" fontId="16" fillId="0" borderId="1" xfId="0" applyFont="1" applyBorder="1"/>
    <xf numFmtId="164" fontId="16" fillId="0" borderId="1" xfId="0" applyNumberFormat="1" applyFont="1" applyBorder="1"/>
    <xf numFmtId="0" fontId="0" fillId="21" borderId="1" xfId="0" applyFill="1" applyBorder="1"/>
    <xf numFmtId="0" fontId="0" fillId="0" borderId="1" xfId="0" applyBorder="1"/>
    <xf numFmtId="164" fontId="0" fillId="0" borderId="1" xfId="0" applyNumberFormat="1" applyBorder="1"/>
    <xf numFmtId="164" fontId="15" fillId="16" borderId="1" xfId="0" applyNumberFormat="1" applyFont="1" applyFill="1" applyBorder="1"/>
    <xf numFmtId="164" fontId="15" fillId="0" borderId="1" xfId="0" applyNumberFormat="1" applyFont="1" applyBorder="1"/>
    <xf numFmtId="164" fontId="0" fillId="16" borderId="1" xfId="0" applyNumberFormat="1" applyFill="1" applyBorder="1"/>
    <xf numFmtId="164" fontId="15" fillId="21" borderId="1" xfId="0" applyNumberFormat="1" applyFont="1" applyFill="1" applyBorder="1"/>
    <xf numFmtId="164" fontId="18" fillId="0" borderId="1" xfId="0" applyNumberFormat="1" applyFont="1" applyBorder="1"/>
    <xf numFmtId="0" fontId="0" fillId="23" borderId="1" xfId="0" applyFill="1" applyBorder="1"/>
    <xf numFmtId="164" fontId="0" fillId="23" borderId="1" xfId="0" applyNumberFormat="1" applyFill="1" applyBorder="1"/>
    <xf numFmtId="0" fontId="0" fillId="0" borderId="18" xfId="0" applyBorder="1"/>
    <xf numFmtId="0" fontId="0" fillId="0" borderId="25" xfId="0" applyBorder="1"/>
    <xf numFmtId="0" fontId="0" fillId="0" borderId="19" xfId="0" applyBorder="1"/>
    <xf numFmtId="164" fontId="15" fillId="16" borderId="1" xfId="0" applyNumberFormat="1" applyFont="1" applyFill="1" applyBorder="1" applyAlignment="1">
      <alignment horizontal="left"/>
    </xf>
    <xf numFmtId="0" fontId="16" fillId="0" borderId="1" xfId="0" applyFont="1" applyBorder="1" applyAlignment="1">
      <alignment horizontal="center"/>
    </xf>
    <xf numFmtId="164" fontId="16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3" fillId="5" borderId="3" xfId="0" applyFont="1" applyFill="1" applyBorder="1" applyAlignment="1">
      <alignment vertical="top" wrapText="1"/>
    </xf>
    <xf numFmtId="0" fontId="19" fillId="27" borderId="26" xfId="0" applyFont="1" applyFill="1" applyBorder="1"/>
    <xf numFmtId="0" fontId="19" fillId="27" borderId="27" xfId="0" applyFont="1" applyFill="1" applyBorder="1"/>
    <xf numFmtId="0" fontId="19" fillId="27" borderId="27" xfId="0" applyFont="1" applyFill="1" applyBorder="1" applyAlignment="1">
      <alignment wrapText="1"/>
    </xf>
    <xf numFmtId="0" fontId="20" fillId="0" borderId="28" xfId="0" applyFont="1" applyBorder="1"/>
    <xf numFmtId="0" fontId="21" fillId="0" borderId="20" xfId="0" applyFont="1" applyBorder="1"/>
    <xf numFmtId="0" fontId="21" fillId="0" borderId="29" xfId="0" applyFont="1" applyBorder="1" applyAlignment="1">
      <alignment wrapText="1"/>
    </xf>
    <xf numFmtId="0" fontId="20" fillId="0" borderId="29" xfId="0" applyFont="1" applyBorder="1" applyAlignment="1">
      <alignment wrapText="1"/>
    </xf>
    <xf numFmtId="0" fontId="21" fillId="0" borderId="29" xfId="0" applyFont="1" applyBorder="1"/>
    <xf numFmtId="0" fontId="21" fillId="28" borderId="29" xfId="0" applyFont="1" applyFill="1" applyBorder="1"/>
    <xf numFmtId="0" fontId="20" fillId="0" borderId="0" xfId="0" applyFont="1" applyAlignment="1">
      <alignment wrapText="1"/>
    </xf>
    <xf numFmtId="0" fontId="20" fillId="0" borderId="30" xfId="0" applyFont="1" applyBorder="1" applyAlignment="1">
      <alignment wrapText="1"/>
    </xf>
    <xf numFmtId="166" fontId="21" fillId="0" borderId="29" xfId="0" applyNumberFormat="1" applyFont="1" applyBorder="1"/>
    <xf numFmtId="0" fontId="19" fillId="27" borderId="0" xfId="0" applyFont="1" applyFill="1"/>
    <xf numFmtId="0" fontId="19" fillId="27" borderId="0" xfId="0" applyFont="1" applyFill="1" applyAlignment="1">
      <alignment wrapText="1"/>
    </xf>
    <xf numFmtId="0" fontId="19" fillId="16" borderId="26" xfId="0" applyFont="1" applyFill="1" applyBorder="1"/>
    <xf numFmtId="0" fontId="19" fillId="16" borderId="26" xfId="0" applyFont="1" applyFill="1" applyBorder="1" applyAlignment="1">
      <alignment wrapText="1"/>
    </xf>
    <xf numFmtId="0" fontId="19" fillId="27" borderId="31" xfId="0" applyFont="1" applyFill="1" applyBorder="1"/>
    <xf numFmtId="0" fontId="1" fillId="0" borderId="32" xfId="0" applyFont="1" applyBorder="1" applyAlignment="1">
      <alignment horizontal="left" wrapText="1"/>
    </xf>
    <xf numFmtId="0" fontId="1" fillId="4" borderId="2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left" vertical="top" wrapText="1"/>
    </xf>
    <xf numFmtId="0" fontId="3" fillId="8" borderId="5" xfId="0" applyFont="1" applyFill="1" applyBorder="1" applyAlignment="1">
      <alignment horizontal="center" vertical="top" wrapText="1"/>
    </xf>
    <xf numFmtId="0" fontId="3" fillId="21" borderId="3" xfId="0" applyFont="1" applyFill="1" applyBorder="1" applyAlignment="1">
      <alignment horizontal="left" vertical="top" wrapText="1"/>
    </xf>
    <xf numFmtId="0" fontId="3" fillId="8" borderId="3" xfId="0" applyFont="1" applyFill="1" applyBorder="1" applyAlignment="1">
      <alignment horizontal="left" vertical="top" wrapText="1"/>
    </xf>
    <xf numFmtId="164" fontId="3" fillId="8" borderId="3" xfId="0" applyNumberFormat="1" applyFont="1" applyFill="1" applyBorder="1" applyAlignment="1">
      <alignment horizontal="left" vertical="top" wrapText="1"/>
    </xf>
    <xf numFmtId="0" fontId="1" fillId="5" borderId="10" xfId="0" applyFont="1" applyFill="1" applyBorder="1" applyAlignment="1">
      <alignment horizontal="left" vertical="top" wrapText="1"/>
    </xf>
    <xf numFmtId="0" fontId="1" fillId="6" borderId="10" xfId="0" applyFont="1" applyFill="1" applyBorder="1" applyAlignment="1">
      <alignment vertical="top" wrapText="1"/>
    </xf>
    <xf numFmtId="0" fontId="1" fillId="6" borderId="2" xfId="0" applyFont="1" applyFill="1" applyBorder="1" applyAlignment="1">
      <alignment vertical="top" wrapText="1"/>
    </xf>
    <xf numFmtId="0" fontId="1" fillId="7" borderId="10" xfId="0" applyFont="1" applyFill="1" applyBorder="1" applyAlignment="1">
      <alignment horizontal="left" vertical="top" wrapText="1"/>
    </xf>
    <xf numFmtId="0" fontId="1" fillId="8" borderId="10" xfId="0" applyFont="1" applyFill="1" applyBorder="1" applyAlignment="1">
      <alignment vertical="top" wrapText="1"/>
    </xf>
    <xf numFmtId="0" fontId="1" fillId="8" borderId="8" xfId="0" applyFont="1" applyFill="1" applyBorder="1" applyAlignment="1">
      <alignment horizontal="left" vertical="top" wrapText="1"/>
    </xf>
    <xf numFmtId="164" fontId="1" fillId="8" borderId="8" xfId="0" applyNumberFormat="1" applyFont="1" applyFill="1" applyBorder="1" applyAlignment="1">
      <alignment horizontal="left" vertical="top" wrapText="1"/>
    </xf>
    <xf numFmtId="0" fontId="1" fillId="6" borderId="8" xfId="0" applyFont="1" applyFill="1" applyBorder="1" applyAlignment="1">
      <alignment vertical="top" wrapText="1"/>
    </xf>
    <xf numFmtId="0" fontId="4" fillId="2" borderId="11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horizontal="left" vertical="top" wrapText="1"/>
    </xf>
    <xf numFmtId="0" fontId="4" fillId="2" borderId="12" xfId="0" applyFont="1" applyFill="1" applyBorder="1" applyAlignment="1">
      <alignment vertical="top" wrapText="1"/>
    </xf>
    <xf numFmtId="0" fontId="4" fillId="11" borderId="12" xfId="0" applyFont="1" applyFill="1" applyBorder="1" applyAlignment="1">
      <alignment vertical="top" wrapText="1"/>
    </xf>
    <xf numFmtId="0" fontId="4" fillId="17" borderId="12" xfId="0" applyFont="1" applyFill="1" applyBorder="1" applyAlignment="1">
      <alignment horizontal="left" vertical="top" wrapText="1"/>
    </xf>
    <xf numFmtId="164" fontId="4" fillId="2" borderId="12" xfId="0" applyNumberFormat="1" applyFont="1" applyFill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5" fillId="13" borderId="1" xfId="0" applyFont="1" applyFill="1" applyBorder="1" applyAlignment="1">
      <alignment horizontal="left" vertical="top" wrapText="1"/>
    </xf>
    <xf numFmtId="0" fontId="1" fillId="3" borderId="14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164" fontId="1" fillId="3" borderId="1" xfId="0" applyNumberFormat="1" applyFont="1" applyFill="1" applyBorder="1" applyAlignment="1">
      <alignment vertical="top" wrapText="1"/>
    </xf>
    <xf numFmtId="0" fontId="6" fillId="1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17" borderId="1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vertical="top" wrapText="1"/>
    </xf>
    <xf numFmtId="0" fontId="4" fillId="22" borderId="1" xfId="0" applyFont="1" applyFill="1" applyBorder="1" applyAlignment="1">
      <alignment vertical="top" wrapText="1"/>
    </xf>
    <xf numFmtId="164" fontId="4" fillId="17" borderId="1" xfId="0" applyNumberFormat="1" applyFont="1" applyFill="1" applyBorder="1" applyAlignment="1">
      <alignment horizontal="left" vertical="top" wrapText="1"/>
    </xf>
    <xf numFmtId="0" fontId="1" fillId="11" borderId="1" xfId="0" applyFont="1" applyFill="1" applyBorder="1" applyAlignment="1">
      <alignment vertical="top" wrapText="1"/>
    </xf>
    <xf numFmtId="0" fontId="5" fillId="26" borderId="1" xfId="0" applyFont="1" applyFill="1" applyBorder="1" applyAlignment="1">
      <alignment horizontal="left" vertical="top" wrapText="1"/>
    </xf>
    <xf numFmtId="164" fontId="4" fillId="14" borderId="1" xfId="0" applyNumberFormat="1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vertical="top" wrapText="1"/>
    </xf>
    <xf numFmtId="0" fontId="1" fillId="0" borderId="16" xfId="0" applyFont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left" vertical="top" wrapText="1"/>
    </xf>
    <xf numFmtId="0" fontId="1" fillId="11" borderId="16" xfId="0" applyFont="1" applyFill="1" applyBorder="1" applyAlignment="1">
      <alignment vertical="top" wrapText="1"/>
    </xf>
    <xf numFmtId="0" fontId="7" fillId="17" borderId="22" xfId="0" applyFont="1" applyFill="1" applyBorder="1" applyAlignment="1">
      <alignment horizontal="left" vertical="top"/>
    </xf>
    <xf numFmtId="164" fontId="7" fillId="17" borderId="1" xfId="0" applyNumberFormat="1" applyFont="1" applyFill="1" applyBorder="1" applyAlignment="1">
      <alignment horizontal="left" vertical="top"/>
    </xf>
    <xf numFmtId="164" fontId="7" fillId="17" borderId="2" xfId="0" applyNumberFormat="1" applyFont="1" applyFill="1" applyBorder="1" applyAlignment="1">
      <alignment horizontal="left" vertical="top"/>
    </xf>
    <xf numFmtId="0" fontId="4" fillId="2" borderId="20" xfId="0" applyFont="1" applyFill="1" applyBorder="1" applyAlignment="1">
      <alignment vertical="top" wrapText="1"/>
    </xf>
    <xf numFmtId="0" fontId="1" fillId="11" borderId="8" xfId="0" applyFont="1" applyFill="1" applyBorder="1" applyAlignment="1">
      <alignment vertical="top" wrapText="1"/>
    </xf>
    <xf numFmtId="0" fontId="4" fillId="2" borderId="20" xfId="0" applyFont="1" applyFill="1" applyBorder="1" applyAlignment="1">
      <alignment horizontal="left" vertical="top" wrapText="1"/>
    </xf>
    <xf numFmtId="0" fontId="7" fillId="17" borderId="1" xfId="0" applyFont="1" applyFill="1" applyBorder="1" applyAlignment="1">
      <alignment horizontal="left" vertical="top"/>
    </xf>
    <xf numFmtId="164" fontId="7" fillId="17" borderId="20" xfId="0" applyNumberFormat="1" applyFont="1" applyFill="1" applyBorder="1" applyAlignment="1">
      <alignment horizontal="left" vertical="top"/>
    </xf>
    <xf numFmtId="0" fontId="1" fillId="0" borderId="20" xfId="0" applyFont="1" applyBorder="1" applyAlignment="1">
      <alignment horizontal="left" vertical="top" wrapText="1"/>
    </xf>
    <xf numFmtId="164" fontId="4" fillId="2" borderId="20" xfId="0" applyNumberFormat="1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vertical="top" wrapText="1"/>
    </xf>
    <xf numFmtId="165" fontId="4" fillId="2" borderId="1" xfId="0" applyNumberFormat="1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5" fillId="19" borderId="1" xfId="0" applyFont="1" applyFill="1" applyBorder="1" applyAlignment="1">
      <alignment horizontal="left" vertical="top" wrapText="1"/>
    </xf>
    <xf numFmtId="164" fontId="4" fillId="20" borderId="1" xfId="0" applyNumberFormat="1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1" fillId="4" borderId="16" xfId="0" applyFont="1" applyFill="1" applyBorder="1" applyAlignment="1">
      <alignment vertical="top" wrapText="1"/>
    </xf>
    <xf numFmtId="164" fontId="4" fillId="2" borderId="2" xfId="0" applyNumberFormat="1" applyFont="1" applyFill="1" applyBorder="1" applyAlignment="1">
      <alignment horizontal="left" vertical="top" wrapText="1"/>
    </xf>
    <xf numFmtId="0" fontId="1" fillId="15" borderId="1" xfId="0" applyFont="1" applyFill="1" applyBorder="1" applyAlignment="1">
      <alignment vertical="top" wrapText="1"/>
    </xf>
    <xf numFmtId="0" fontId="2" fillId="0" borderId="0" xfId="0" applyFont="1" applyAlignment="1">
      <alignment horizontal="left" vertical="top"/>
    </xf>
    <xf numFmtId="164" fontId="4" fillId="22" borderId="1" xfId="0" applyNumberFormat="1" applyFont="1" applyFill="1" applyBorder="1" applyAlignment="1">
      <alignment horizontal="left" vertical="top" wrapText="1"/>
    </xf>
    <xf numFmtId="164" fontId="7" fillId="17" borderId="0" xfId="0" applyNumberFormat="1" applyFont="1" applyFill="1" applyAlignment="1">
      <alignment horizontal="left" vertical="top"/>
    </xf>
    <xf numFmtId="0" fontId="1" fillId="3" borderId="2" xfId="0" applyFont="1" applyFill="1" applyBorder="1" applyAlignment="1">
      <alignment vertical="top" wrapText="1"/>
    </xf>
    <xf numFmtId="164" fontId="1" fillId="3" borderId="2" xfId="0" applyNumberFormat="1" applyFont="1" applyFill="1" applyBorder="1" applyAlignment="1">
      <alignment vertical="top" wrapText="1"/>
    </xf>
    <xf numFmtId="0" fontId="10" fillId="17" borderId="1" xfId="0" applyFont="1" applyFill="1" applyBorder="1" applyAlignment="1">
      <alignment horizontal="left" vertical="top"/>
    </xf>
    <xf numFmtId="164" fontId="11" fillId="17" borderId="1" xfId="0" applyNumberFormat="1" applyFont="1" applyFill="1" applyBorder="1" applyAlignment="1">
      <alignment horizontal="left" vertical="top"/>
    </xf>
    <xf numFmtId="164" fontId="4" fillId="2" borderId="19" xfId="0" applyNumberFormat="1" applyFont="1" applyFill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vertical="top" wrapText="1"/>
    </xf>
    <xf numFmtId="164" fontId="1" fillId="3" borderId="20" xfId="0" applyNumberFormat="1" applyFont="1" applyFill="1" applyBorder="1" applyAlignment="1">
      <alignment vertical="top" wrapText="1"/>
    </xf>
    <xf numFmtId="0" fontId="4" fillId="2" borderId="18" xfId="0" applyFont="1" applyFill="1" applyBorder="1" applyAlignment="1">
      <alignment horizontal="left" vertical="top" wrapText="1"/>
    </xf>
    <xf numFmtId="164" fontId="10" fillId="17" borderId="1" xfId="0" applyNumberFormat="1" applyFont="1" applyFill="1" applyBorder="1" applyAlignment="1">
      <alignment horizontal="left" vertical="top"/>
    </xf>
    <xf numFmtId="164" fontId="10" fillId="17" borderId="19" xfId="0" applyNumberFormat="1" applyFont="1" applyFill="1" applyBorder="1" applyAlignment="1">
      <alignment horizontal="left" vertical="top"/>
    </xf>
    <xf numFmtId="0" fontId="8" fillId="2" borderId="1" xfId="0" applyFont="1" applyFill="1" applyBorder="1" applyAlignment="1">
      <alignment vertical="top" wrapText="1"/>
    </xf>
    <xf numFmtId="0" fontId="8" fillId="11" borderId="1" xfId="0" applyFont="1" applyFill="1" applyBorder="1" applyAlignment="1">
      <alignment vertical="top" wrapText="1"/>
    </xf>
    <xf numFmtId="164" fontId="10" fillId="17" borderId="0" xfId="0" applyNumberFormat="1" applyFont="1" applyFill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164" fontId="4" fillId="4" borderId="12" xfId="0" applyNumberFormat="1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5" fillId="13" borderId="2" xfId="0" applyFont="1" applyFill="1" applyBorder="1" applyAlignment="1">
      <alignment horizontal="left" vertical="top" wrapText="1"/>
    </xf>
    <xf numFmtId="164" fontId="4" fillId="22" borderId="18" xfId="0" applyNumberFormat="1" applyFont="1" applyFill="1" applyBorder="1" applyAlignment="1">
      <alignment horizontal="left" vertical="top" wrapText="1"/>
    </xf>
    <xf numFmtId="164" fontId="4" fillId="22" borderId="26" xfId="0" applyNumberFormat="1" applyFont="1" applyFill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0" fontId="5" fillId="13" borderId="26" xfId="0" applyFont="1" applyFill="1" applyBorder="1" applyAlignment="1">
      <alignment horizontal="left" vertical="top" wrapText="1"/>
    </xf>
    <xf numFmtId="164" fontId="7" fillId="17" borderId="26" xfId="0" applyNumberFormat="1" applyFont="1" applyFill="1" applyBorder="1" applyAlignment="1">
      <alignment horizontal="left" vertical="top"/>
    </xf>
    <xf numFmtId="0" fontId="8" fillId="2" borderId="12" xfId="0" applyFont="1" applyFill="1" applyBorder="1" applyAlignment="1">
      <alignment horizontal="left" vertical="top" wrapText="1"/>
    </xf>
    <xf numFmtId="0" fontId="8" fillId="17" borderId="1" xfId="0" applyFont="1" applyFill="1" applyBorder="1" applyAlignment="1">
      <alignment horizontal="left" vertical="top" wrapText="1"/>
    </xf>
    <xf numFmtId="164" fontId="8" fillId="2" borderId="12" xfId="0" applyNumberFormat="1" applyFont="1" applyFill="1" applyBorder="1" applyAlignment="1">
      <alignment horizontal="left" vertical="top" wrapText="1"/>
    </xf>
    <xf numFmtId="164" fontId="8" fillId="2" borderId="1" xfId="0" applyNumberFormat="1" applyFont="1" applyFill="1" applyBorder="1" applyAlignment="1">
      <alignment horizontal="left" vertical="top" wrapText="1"/>
    </xf>
    <xf numFmtId="0" fontId="5" fillId="13" borderId="20" xfId="0" applyFont="1" applyFill="1" applyBorder="1" applyAlignment="1">
      <alignment horizontal="left" vertical="top" wrapText="1"/>
    </xf>
    <xf numFmtId="164" fontId="4" fillId="2" borderId="0" xfId="0" applyNumberFormat="1" applyFont="1" applyFill="1" applyAlignment="1">
      <alignment horizontal="left" vertical="top" wrapText="1"/>
    </xf>
    <xf numFmtId="9" fontId="11" fillId="17" borderId="1" xfId="1" applyFont="1" applyFill="1" applyBorder="1" applyAlignment="1">
      <alignment horizontal="left" vertical="top"/>
    </xf>
    <xf numFmtId="0" fontId="9" fillId="4" borderId="1" xfId="0" applyFont="1" applyFill="1" applyBorder="1" applyAlignment="1">
      <alignment vertical="top" wrapText="1"/>
    </xf>
    <xf numFmtId="0" fontId="4" fillId="2" borderId="21" xfId="0" applyFont="1" applyFill="1" applyBorder="1" applyAlignment="1">
      <alignment horizontal="left" vertical="top" wrapText="1"/>
    </xf>
    <xf numFmtId="164" fontId="11" fillId="17" borderId="19" xfId="0" applyNumberFormat="1" applyFont="1" applyFill="1" applyBorder="1" applyAlignment="1">
      <alignment horizontal="left" vertical="top"/>
    </xf>
    <xf numFmtId="164" fontId="4" fillId="18" borderId="1" xfId="0" applyNumberFormat="1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vertical="top" wrapText="1"/>
    </xf>
    <xf numFmtId="0" fontId="1" fillId="11" borderId="2" xfId="0" applyFont="1" applyFill="1" applyBorder="1" applyAlignment="1">
      <alignment vertical="top" wrapText="1"/>
    </xf>
    <xf numFmtId="0" fontId="4" fillId="2" borderId="24" xfId="0" applyFont="1" applyFill="1" applyBorder="1" applyAlignment="1">
      <alignment horizontal="left" vertical="top" wrapText="1"/>
    </xf>
    <xf numFmtId="0" fontId="4" fillId="11" borderId="20" xfId="0" applyFont="1" applyFill="1" applyBorder="1" applyAlignment="1">
      <alignment vertical="top" wrapText="1"/>
    </xf>
    <xf numFmtId="0" fontId="4" fillId="17" borderId="20" xfId="0" applyFont="1" applyFill="1" applyBorder="1" applyAlignment="1">
      <alignment horizontal="left" vertical="top" wrapText="1"/>
    </xf>
    <xf numFmtId="0" fontId="4" fillId="2" borderId="14" xfId="0" applyFont="1" applyFill="1" applyBorder="1" applyAlignment="1">
      <alignment horizontal="left" vertical="top" wrapText="1"/>
    </xf>
    <xf numFmtId="164" fontId="7" fillId="14" borderId="1" xfId="0" applyNumberFormat="1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164" fontId="7" fillId="23" borderId="0" xfId="0" applyNumberFormat="1" applyFont="1" applyFill="1" applyAlignment="1">
      <alignment horizontal="left" vertical="top"/>
    </xf>
    <xf numFmtId="0" fontId="5" fillId="26" borderId="1" xfId="0" applyFont="1" applyFill="1" applyBorder="1" applyAlignment="1">
      <alignment horizontal="right" vertical="top" wrapText="1"/>
    </xf>
    <xf numFmtId="0" fontId="4" fillId="2" borderId="10" xfId="0" applyFont="1" applyFill="1" applyBorder="1" applyAlignment="1">
      <alignment horizontal="left" vertical="top" wrapText="1"/>
    </xf>
    <xf numFmtId="164" fontId="4" fillId="2" borderId="8" xfId="0" applyNumberFormat="1" applyFont="1" applyFill="1" applyBorder="1" applyAlignment="1">
      <alignment horizontal="left" vertical="top" wrapText="1"/>
    </xf>
    <xf numFmtId="0" fontId="4" fillId="17" borderId="0" xfId="0" applyFont="1" applyFill="1" applyAlignment="1">
      <alignment horizontal="left" vertical="top" wrapText="1"/>
    </xf>
    <xf numFmtId="0" fontId="7" fillId="17" borderId="0" xfId="0" applyFont="1" applyFill="1" applyAlignment="1">
      <alignment horizontal="left" vertical="top"/>
    </xf>
    <xf numFmtId="0" fontId="4" fillId="25" borderId="1" xfId="0" applyFont="1" applyFill="1" applyBorder="1" applyAlignment="1">
      <alignment horizontal="left" vertical="top" wrapText="1"/>
    </xf>
    <xf numFmtId="0" fontId="4" fillId="24" borderId="1" xfId="0" applyFont="1" applyFill="1" applyBorder="1" applyAlignment="1">
      <alignment horizontal="left" vertical="top" wrapText="1"/>
    </xf>
    <xf numFmtId="164" fontId="4" fillId="24" borderId="1" xfId="0" applyNumberFormat="1" applyFont="1" applyFill="1" applyBorder="1" applyAlignment="1">
      <alignment horizontal="left" vertical="top" wrapText="1"/>
    </xf>
    <xf numFmtId="0" fontId="13" fillId="21" borderId="0" xfId="0" applyFont="1" applyFill="1" applyAlignment="1">
      <alignment horizontal="left" vertical="top"/>
    </xf>
    <xf numFmtId="0" fontId="13" fillId="21" borderId="0" xfId="0" applyFont="1" applyFill="1" applyAlignment="1">
      <alignment vertical="top"/>
    </xf>
    <xf numFmtId="164" fontId="13" fillId="21" borderId="0" xfId="0" applyNumberFormat="1" applyFont="1" applyFill="1" applyAlignment="1">
      <alignment horizontal="left"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left" vertical="top"/>
    </xf>
    <xf numFmtId="0" fontId="0" fillId="0" borderId="0" xfId="0" applyAlignment="1">
      <alignment vertical="top"/>
    </xf>
    <xf numFmtId="0" fontId="5" fillId="25" borderId="1" xfId="0" applyFont="1" applyFill="1" applyBorder="1" applyAlignment="1">
      <alignment horizontal="left" vertical="top" wrapText="1"/>
    </xf>
    <xf numFmtId="0" fontId="5" fillId="26" borderId="16" xfId="0" applyFont="1" applyFill="1" applyBorder="1" applyAlignment="1">
      <alignment horizontal="left" vertical="top" wrapText="1"/>
    </xf>
    <xf numFmtId="0" fontId="1" fillId="0" borderId="33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34" xfId="0" applyFont="1" applyBorder="1" applyAlignment="1">
      <alignment horizontal="left" vertical="top" wrapText="1"/>
    </xf>
    <xf numFmtId="0" fontId="6" fillId="12" borderId="2" xfId="0" applyFont="1" applyFill="1" applyBorder="1" applyAlignment="1">
      <alignment horizontal="center" vertical="top" wrapText="1"/>
    </xf>
    <xf numFmtId="0" fontId="6" fillId="12" borderId="20" xfId="0" applyFont="1" applyFill="1" applyBorder="1" applyAlignment="1">
      <alignment horizontal="center" vertical="top" wrapText="1"/>
    </xf>
    <xf numFmtId="0" fontId="1" fillId="0" borderId="35" xfId="0" applyFont="1" applyBorder="1" applyAlignment="1">
      <alignment horizontal="left" wrapText="1"/>
    </xf>
    <xf numFmtId="0" fontId="5" fillId="26" borderId="2" xfId="0" applyFont="1" applyFill="1" applyBorder="1" applyAlignment="1">
      <alignment horizontal="left" vertical="top" wrapText="1"/>
    </xf>
    <xf numFmtId="0" fontId="8" fillId="2" borderId="20" xfId="0" applyFont="1" applyFill="1" applyBorder="1" applyAlignment="1">
      <alignment horizontal="left" vertical="top" wrapText="1"/>
    </xf>
    <xf numFmtId="0" fontId="5" fillId="26" borderId="12" xfId="0" applyFont="1" applyFill="1" applyBorder="1" applyAlignment="1">
      <alignment horizontal="left" vertical="top" wrapText="1"/>
    </xf>
    <xf numFmtId="0" fontId="23" fillId="2" borderId="12" xfId="0" applyFont="1" applyFill="1" applyBorder="1" applyAlignment="1">
      <alignment horizontal="left" vertical="top" wrapText="1"/>
    </xf>
    <xf numFmtId="0" fontId="2" fillId="21" borderId="0" xfId="0" applyFont="1" applyFill="1" applyAlignment="1">
      <alignment vertical="top"/>
    </xf>
    <xf numFmtId="0" fontId="1" fillId="0" borderId="26" xfId="0" applyFont="1" applyBorder="1" applyAlignment="1">
      <alignment horizontal="left" wrapText="1"/>
    </xf>
    <xf numFmtId="164" fontId="7" fillId="17" borderId="36" xfId="0" applyNumberFormat="1" applyFont="1" applyFill="1" applyBorder="1" applyAlignment="1">
      <alignment horizontal="left" vertical="top"/>
    </xf>
    <xf numFmtId="164" fontId="8" fillId="2" borderId="37" xfId="0" applyNumberFormat="1" applyFont="1" applyFill="1" applyBorder="1" applyAlignment="1">
      <alignment horizontal="left" vertical="top" wrapText="1"/>
    </xf>
    <xf numFmtId="0" fontId="2" fillId="16" borderId="38" xfId="0" applyFont="1" applyFill="1" applyBorder="1" applyAlignment="1">
      <alignment horizontal="left" vertical="top"/>
    </xf>
    <xf numFmtId="0" fontId="5" fillId="26" borderId="38" xfId="0" applyFont="1" applyFill="1" applyBorder="1" applyAlignment="1">
      <alignment horizontal="left" vertical="top" wrapText="1"/>
    </xf>
    <xf numFmtId="0" fontId="1" fillId="0" borderId="39" xfId="0" applyFont="1" applyBorder="1" applyAlignment="1">
      <alignment horizontal="left" wrapText="1"/>
    </xf>
    <xf numFmtId="0" fontId="1" fillId="0" borderId="40" xfId="0" applyFont="1" applyBorder="1" applyAlignment="1">
      <alignment horizontal="left" wrapText="1"/>
    </xf>
    <xf numFmtId="0" fontId="1" fillId="0" borderId="27" xfId="0" applyFont="1" applyBorder="1" applyAlignment="1">
      <alignment horizontal="left" wrapText="1"/>
    </xf>
    <xf numFmtId="0" fontId="5" fillId="4" borderId="38" xfId="0" applyFont="1" applyFill="1" applyBorder="1" applyAlignment="1">
      <alignment horizontal="left" vertical="top" wrapText="1"/>
    </xf>
    <xf numFmtId="0" fontId="5" fillId="26" borderId="20" xfId="0" applyFont="1" applyFill="1" applyBorder="1" applyAlignment="1">
      <alignment horizontal="left" vertical="top" wrapText="1"/>
    </xf>
    <xf numFmtId="0" fontId="5" fillId="4" borderId="28" xfId="0" applyFont="1" applyFill="1" applyBorder="1" applyAlignment="1">
      <alignment horizontal="left" vertical="top" wrapText="1"/>
    </xf>
    <xf numFmtId="0" fontId="24" fillId="13" borderId="1" xfId="0" applyFont="1" applyFill="1" applyBorder="1" applyAlignment="1">
      <alignment horizontal="left" vertical="top" wrapText="1"/>
    </xf>
    <xf numFmtId="0" fontId="5" fillId="13" borderId="1" xfId="0" applyFont="1" applyFill="1" applyBorder="1" applyAlignment="1">
      <alignment vertical="top" wrapText="1"/>
    </xf>
    <xf numFmtId="0" fontId="5" fillId="26" borderId="1" xfId="0" applyFont="1" applyFill="1" applyBorder="1" applyAlignment="1">
      <alignment vertical="top" wrapText="1"/>
    </xf>
    <xf numFmtId="0" fontId="0" fillId="16" borderId="0" xfId="0" applyFill="1"/>
    <xf numFmtId="0" fontId="22" fillId="16" borderId="0" xfId="0" applyFont="1" applyFill="1"/>
    <xf numFmtId="9" fontId="0" fillId="16" borderId="0" xfId="0" applyNumberFormat="1" applyFill="1"/>
    <xf numFmtId="167" fontId="0" fillId="16" borderId="0" xfId="0" applyNumberFormat="1" applyFill="1"/>
    <xf numFmtId="0" fontId="25" fillId="9" borderId="2" xfId="0" applyFont="1" applyFill="1" applyBorder="1" applyAlignment="1">
      <alignment horizontal="left" vertical="top" wrapText="1"/>
    </xf>
    <xf numFmtId="0" fontId="25" fillId="9" borderId="8" xfId="0" applyFont="1" applyFill="1" applyBorder="1" applyAlignment="1">
      <alignment horizontal="left" vertical="top" wrapText="1"/>
    </xf>
    <xf numFmtId="0" fontId="5" fillId="26" borderId="26" xfId="0" applyFont="1" applyFill="1" applyBorder="1" applyAlignment="1">
      <alignment horizontal="left" vertical="top" wrapText="1"/>
    </xf>
    <xf numFmtId="0" fontId="5" fillId="16" borderId="26" xfId="0" applyFont="1" applyFill="1" applyBorder="1" applyAlignment="1">
      <alignment horizontal="left" vertical="top" wrapText="1"/>
    </xf>
    <xf numFmtId="164" fontId="4" fillId="2" borderId="18" xfId="0" applyNumberFormat="1" applyFont="1" applyFill="1" applyBorder="1" applyAlignment="1">
      <alignment horizontal="left" vertical="top" wrapText="1"/>
    </xf>
    <xf numFmtId="164" fontId="7" fillId="17" borderId="41" xfId="0" applyNumberFormat="1" applyFont="1" applyFill="1" applyBorder="1" applyAlignment="1">
      <alignment horizontal="left" vertical="top"/>
    </xf>
    <xf numFmtId="164" fontId="4" fillId="2" borderId="21" xfId="0" applyNumberFormat="1" applyFont="1" applyFill="1" applyBorder="1" applyAlignment="1">
      <alignment horizontal="left" vertical="top" wrapText="1"/>
    </xf>
    <xf numFmtId="0" fontId="1" fillId="0" borderId="42" xfId="0" applyFont="1" applyBorder="1" applyAlignment="1">
      <alignment horizontal="left" wrapText="1"/>
    </xf>
    <xf numFmtId="0" fontId="5" fillId="25" borderId="2" xfId="0" applyFont="1" applyFill="1" applyBorder="1" applyAlignment="1">
      <alignment horizontal="left" vertical="top" wrapText="1"/>
    </xf>
    <xf numFmtId="0" fontId="5" fillId="26" borderId="8" xfId="0" applyFont="1" applyFill="1" applyBorder="1" applyAlignment="1">
      <alignment horizontal="left" vertical="top" wrapText="1"/>
    </xf>
    <xf numFmtId="0" fontId="1" fillId="0" borderId="20" xfId="0" applyFont="1" applyBorder="1" applyAlignment="1">
      <alignment horizontal="center" vertical="top" wrapText="1"/>
    </xf>
    <xf numFmtId="0" fontId="26" fillId="2" borderId="12" xfId="0" applyFont="1" applyFill="1" applyBorder="1" applyAlignment="1">
      <alignment horizontal="left" vertical="top" wrapText="1"/>
    </xf>
    <xf numFmtId="0" fontId="5" fillId="29" borderId="1" xfId="0" applyFont="1" applyFill="1" applyBorder="1" applyAlignment="1">
      <alignment horizontal="left" vertical="top" wrapText="1"/>
    </xf>
    <xf numFmtId="0" fontId="5" fillId="26" borderId="16" xfId="0" applyFont="1" applyFill="1" applyBorder="1" applyAlignment="1">
      <alignment vertical="top" wrapText="1"/>
    </xf>
    <xf numFmtId="0" fontId="5" fillId="26" borderId="2" xfId="0" applyFont="1" applyFill="1" applyBorder="1" applyAlignment="1">
      <alignment vertical="top" wrapText="1"/>
    </xf>
    <xf numFmtId="0" fontId="5" fillId="26" borderId="20" xfId="0" applyFont="1" applyFill="1" applyBorder="1" applyAlignment="1">
      <alignment vertical="top" wrapText="1"/>
    </xf>
    <xf numFmtId="0" fontId="5" fillId="16" borderId="12" xfId="0" applyFont="1" applyFill="1" applyBorder="1" applyAlignment="1">
      <alignment horizontal="left" vertical="top" wrapText="1"/>
    </xf>
    <xf numFmtId="167" fontId="28" fillId="16" borderId="26" xfId="0" applyNumberFormat="1" applyFont="1" applyFill="1" applyBorder="1" applyAlignment="1">
      <alignment horizontal="left"/>
    </xf>
    <xf numFmtId="9" fontId="27" fillId="16" borderId="26" xfId="0" applyNumberFormat="1" applyFont="1" applyFill="1" applyBorder="1" applyAlignment="1">
      <alignment horizontal="right"/>
    </xf>
    <xf numFmtId="9" fontId="28" fillId="16" borderId="26" xfId="0" applyNumberFormat="1" applyFont="1" applyFill="1" applyBorder="1" applyAlignment="1">
      <alignment horizontal="right"/>
    </xf>
    <xf numFmtId="0" fontId="31" fillId="30" borderId="26" xfId="0" applyFont="1" applyFill="1" applyBorder="1" applyAlignment="1">
      <alignment horizontal="left"/>
    </xf>
    <xf numFmtId="0" fontId="31" fillId="30" borderId="48" xfId="0" applyFont="1" applyFill="1" applyBorder="1" applyAlignment="1">
      <alignment horizontal="left"/>
    </xf>
    <xf numFmtId="9" fontId="28" fillId="16" borderId="48" xfId="0" applyNumberFormat="1" applyFont="1" applyFill="1" applyBorder="1" applyAlignment="1">
      <alignment horizontal="right"/>
    </xf>
    <xf numFmtId="0" fontId="33" fillId="30" borderId="50" xfId="0" applyFont="1" applyFill="1" applyBorder="1" applyAlignment="1">
      <alignment horizontal="left"/>
    </xf>
    <xf numFmtId="0" fontId="31" fillId="30" borderId="27" xfId="0" applyFont="1" applyFill="1" applyBorder="1" applyAlignment="1">
      <alignment horizontal="left"/>
    </xf>
    <xf numFmtId="167" fontId="28" fillId="16" borderId="27" xfId="0" applyNumberFormat="1" applyFont="1" applyFill="1" applyBorder="1" applyAlignment="1">
      <alignment horizontal="left"/>
    </xf>
    <xf numFmtId="0" fontId="33" fillId="30" borderId="52" xfId="0" applyFont="1" applyFill="1" applyBorder="1" applyAlignment="1">
      <alignment horizontal="left"/>
    </xf>
    <xf numFmtId="0" fontId="33" fillId="30" borderId="53" xfId="0" applyFont="1" applyFill="1" applyBorder="1" applyAlignment="1">
      <alignment horizontal="left"/>
    </xf>
    <xf numFmtId="167" fontId="27" fillId="16" borderId="54" xfId="0" applyNumberFormat="1" applyFont="1" applyFill="1" applyBorder="1" applyAlignment="1">
      <alignment horizontal="left"/>
    </xf>
    <xf numFmtId="167" fontId="27" fillId="16" borderId="55" xfId="0" applyNumberFormat="1" applyFont="1" applyFill="1" applyBorder="1" applyAlignment="1">
      <alignment horizontal="left"/>
    </xf>
    <xf numFmtId="9" fontId="27" fillId="16" borderId="55" xfId="0" applyNumberFormat="1" applyFont="1" applyFill="1" applyBorder="1" applyAlignment="1">
      <alignment horizontal="right"/>
    </xf>
    <xf numFmtId="9" fontId="27" fillId="16" borderId="56" xfId="0" applyNumberFormat="1" applyFont="1" applyFill="1" applyBorder="1" applyAlignment="1">
      <alignment horizontal="right"/>
    </xf>
    <xf numFmtId="0" fontId="32" fillId="30" borderId="57" xfId="0" applyFont="1" applyFill="1" applyBorder="1" applyAlignment="1">
      <alignment horizontal="left"/>
    </xf>
    <xf numFmtId="167" fontId="28" fillId="16" borderId="58" xfId="0" applyNumberFormat="1" applyFont="1" applyFill="1" applyBorder="1" applyAlignment="1">
      <alignment horizontal="left"/>
    </xf>
    <xf numFmtId="167" fontId="28" fillId="16" borderId="38" xfId="0" applyNumberFormat="1" applyFont="1" applyFill="1" applyBorder="1" applyAlignment="1">
      <alignment horizontal="left" wrapText="1"/>
    </xf>
    <xf numFmtId="9" fontId="27" fillId="16" borderId="38" xfId="0" applyNumberFormat="1" applyFont="1" applyFill="1" applyBorder="1" applyAlignment="1">
      <alignment horizontal="right"/>
    </xf>
    <xf numFmtId="167" fontId="28" fillId="16" borderId="38" xfId="0" applyNumberFormat="1" applyFont="1" applyFill="1" applyBorder="1" applyAlignment="1">
      <alignment horizontal="left"/>
    </xf>
    <xf numFmtId="9" fontId="28" fillId="16" borderId="38" xfId="0" applyNumberFormat="1" applyFont="1" applyFill="1" applyBorder="1" applyAlignment="1">
      <alignment horizontal="right"/>
    </xf>
    <xf numFmtId="9" fontId="28" fillId="16" borderId="59" xfId="0" applyNumberFormat="1" applyFont="1" applyFill="1" applyBorder="1" applyAlignment="1">
      <alignment horizontal="right"/>
    </xf>
    <xf numFmtId="0" fontId="32" fillId="31" borderId="22" xfId="0" applyFont="1" applyFill="1" applyBorder="1" applyAlignment="1">
      <alignment horizontal="center"/>
    </xf>
    <xf numFmtId="0" fontId="34" fillId="26" borderId="1" xfId="2" applyFill="1" applyBorder="1" applyAlignment="1">
      <alignment horizontal="left" vertical="top" wrapText="1"/>
    </xf>
    <xf numFmtId="0" fontId="24" fillId="26" borderId="1" xfId="0" applyFont="1" applyFill="1" applyBorder="1" applyAlignment="1">
      <alignment horizontal="left" vertical="top" wrapText="1"/>
    </xf>
    <xf numFmtId="0" fontId="5" fillId="26" borderId="18" xfId="0" applyFont="1" applyFill="1" applyBorder="1" applyAlignment="1">
      <alignment horizontal="left" vertical="top" wrapText="1"/>
    </xf>
    <xf numFmtId="0" fontId="5" fillId="26" borderId="19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center" vertical="top" wrapText="1"/>
    </xf>
    <xf numFmtId="0" fontId="5" fillId="13" borderId="8" xfId="0" applyFont="1" applyFill="1" applyBorder="1" applyAlignment="1">
      <alignment horizontal="center" vertical="top" wrapText="1"/>
    </xf>
    <xf numFmtId="0" fontId="32" fillId="30" borderId="61" xfId="0" applyFont="1" applyFill="1" applyBorder="1" applyAlignment="1">
      <alignment horizontal="center"/>
    </xf>
    <xf numFmtId="0" fontId="32" fillId="30" borderId="63" xfId="0" applyFont="1" applyFill="1" applyBorder="1" applyAlignment="1">
      <alignment horizontal="center"/>
    </xf>
    <xf numFmtId="0" fontId="35" fillId="16" borderId="0" xfId="0" applyFont="1" applyFill="1" applyAlignment="1">
      <alignment horizontal="left"/>
    </xf>
    <xf numFmtId="0" fontId="18" fillId="16" borderId="0" xfId="0" applyFont="1" applyFill="1" applyAlignment="1">
      <alignment horizontal="left"/>
    </xf>
    <xf numFmtId="164" fontId="4" fillId="2" borderId="26" xfId="0" applyNumberFormat="1" applyFont="1" applyFill="1" applyBorder="1" applyAlignment="1">
      <alignment horizontal="left" vertical="top" wrapText="1"/>
    </xf>
    <xf numFmtId="0" fontId="5" fillId="26" borderId="26" xfId="0" applyFont="1" applyFill="1" applyBorder="1" applyAlignment="1">
      <alignment vertical="top" wrapText="1"/>
    </xf>
    <xf numFmtId="0" fontId="3" fillId="6" borderId="3" xfId="0" applyFont="1" applyFill="1" applyBorder="1" applyAlignment="1">
      <alignment horizontal="center" vertical="top" wrapText="1"/>
    </xf>
    <xf numFmtId="0" fontId="3" fillId="6" borderId="4" xfId="0" applyFont="1" applyFill="1" applyBorder="1" applyAlignment="1">
      <alignment horizontal="center" vertical="top" wrapText="1"/>
    </xf>
    <xf numFmtId="0" fontId="3" fillId="21" borderId="3" xfId="0" applyFont="1" applyFill="1" applyBorder="1" applyAlignment="1">
      <alignment horizontal="left" vertical="top" wrapText="1"/>
    </xf>
    <xf numFmtId="0" fontId="3" fillId="21" borderId="4" xfId="0" applyFont="1" applyFill="1" applyBorder="1" applyAlignment="1">
      <alignment horizontal="left" vertical="top" wrapText="1"/>
    </xf>
    <xf numFmtId="0" fontId="3" fillId="21" borderId="9" xfId="0" applyFont="1" applyFill="1" applyBorder="1" applyAlignment="1">
      <alignment horizontal="left" vertical="top" wrapText="1"/>
    </xf>
    <xf numFmtId="0" fontId="1" fillId="10" borderId="6" xfId="0" applyFont="1" applyFill="1" applyBorder="1" applyAlignment="1">
      <alignment horizontal="left" vertical="center" wrapText="1"/>
    </xf>
    <xf numFmtId="0" fontId="1" fillId="10" borderId="7" xfId="0" applyFont="1" applyFill="1" applyBorder="1" applyAlignment="1">
      <alignment horizontal="left" vertical="center" wrapText="1"/>
    </xf>
    <xf numFmtId="0" fontId="12" fillId="21" borderId="23" xfId="0" applyFont="1" applyFill="1" applyBorder="1" applyAlignment="1">
      <alignment horizontal="center" vertical="top"/>
    </xf>
    <xf numFmtId="0" fontId="12" fillId="21" borderId="0" xfId="0" applyFont="1" applyFill="1" applyAlignment="1">
      <alignment horizontal="center" vertical="top"/>
    </xf>
    <xf numFmtId="9" fontId="16" fillId="16" borderId="0" xfId="0" applyNumberFormat="1" applyFont="1" applyFill="1" applyAlignment="1">
      <alignment horizontal="center"/>
    </xf>
    <xf numFmtId="0" fontId="29" fillId="30" borderId="49" xfId="0" applyFont="1" applyFill="1" applyBorder="1" applyAlignment="1">
      <alignment horizontal="center"/>
    </xf>
    <xf numFmtId="0" fontId="29" fillId="30" borderId="51" xfId="0" applyFont="1" applyFill="1" applyBorder="1" applyAlignment="1">
      <alignment horizontal="center"/>
    </xf>
    <xf numFmtId="0" fontId="30" fillId="30" borderId="44" xfId="0" applyFont="1" applyFill="1" applyBorder="1" applyAlignment="1">
      <alignment horizontal="center"/>
    </xf>
    <xf numFmtId="0" fontId="30" fillId="30" borderId="45" xfId="0" applyFont="1" applyFill="1" applyBorder="1" applyAlignment="1">
      <alignment horizontal="center"/>
    </xf>
    <xf numFmtId="0" fontId="30" fillId="30" borderId="46" xfId="0" applyFont="1" applyFill="1" applyBorder="1" applyAlignment="1">
      <alignment horizontal="center"/>
    </xf>
    <xf numFmtId="9" fontId="22" fillId="16" borderId="0" xfId="0" applyNumberFormat="1" applyFont="1" applyFill="1" applyAlignment="1">
      <alignment horizontal="center"/>
    </xf>
    <xf numFmtId="9" fontId="22" fillId="16" borderId="62" xfId="0" applyNumberFormat="1" applyFont="1" applyFill="1" applyBorder="1" applyAlignment="1">
      <alignment horizontal="center"/>
    </xf>
    <xf numFmtId="9" fontId="22" fillId="16" borderId="64" xfId="0" applyNumberFormat="1" applyFont="1" applyFill="1" applyBorder="1" applyAlignment="1">
      <alignment horizontal="center"/>
    </xf>
    <xf numFmtId="9" fontId="22" fillId="16" borderId="30" xfId="0" applyNumberFormat="1" applyFont="1" applyFill="1" applyBorder="1" applyAlignment="1">
      <alignment horizontal="center"/>
    </xf>
    <xf numFmtId="0" fontId="32" fillId="31" borderId="60" xfId="0" applyFont="1" applyFill="1" applyBorder="1" applyAlignment="1">
      <alignment horizontal="center"/>
    </xf>
    <xf numFmtId="0" fontId="32" fillId="31" borderId="58" xfId="0" applyFont="1" applyFill="1" applyBorder="1" applyAlignment="1">
      <alignment horizontal="center"/>
    </xf>
    <xf numFmtId="0" fontId="30" fillId="30" borderId="47" xfId="0" applyFont="1" applyFill="1" applyBorder="1" applyAlignment="1">
      <alignment horizontal="center"/>
    </xf>
    <xf numFmtId="0" fontId="30" fillId="30" borderId="43" xfId="0" applyFont="1" applyFill="1" applyBorder="1" applyAlignment="1">
      <alignment horizontal="center"/>
    </xf>
    <xf numFmtId="164" fontId="0" fillId="0" borderId="2" xfId="0" applyNumberFormat="1" applyBorder="1" applyAlignment="1">
      <alignment horizontal="right"/>
    </xf>
    <xf numFmtId="164" fontId="0" fillId="0" borderId="20" xfId="0" applyNumberFormat="1" applyBorder="1" applyAlignment="1">
      <alignment horizontal="right"/>
    </xf>
    <xf numFmtId="164" fontId="15" fillId="16" borderId="2" xfId="0" applyNumberFormat="1" applyFont="1" applyFill="1" applyBorder="1" applyAlignment="1">
      <alignment horizontal="left"/>
    </xf>
    <xf numFmtId="164" fontId="15" fillId="16" borderId="8" xfId="0" applyNumberFormat="1" applyFont="1" applyFill="1" applyBorder="1" applyAlignment="1">
      <alignment horizontal="left"/>
    </xf>
    <xf numFmtId="164" fontId="15" fillId="16" borderId="20" xfId="0" applyNumberFormat="1" applyFont="1" applyFill="1" applyBorder="1" applyAlignment="1">
      <alignment horizontal="left"/>
    </xf>
    <xf numFmtId="164" fontId="0" fillId="16" borderId="2" xfId="0" applyNumberFormat="1" applyFill="1" applyBorder="1" applyAlignment="1">
      <alignment horizontal="right"/>
    </xf>
    <xf numFmtId="164" fontId="0" fillId="16" borderId="8" xfId="0" applyNumberFormat="1" applyFill="1" applyBorder="1" applyAlignment="1">
      <alignment horizontal="right"/>
    </xf>
    <xf numFmtId="164" fontId="0" fillId="16" borderId="20" xfId="0" applyNumberFormat="1" applyFill="1" applyBorder="1" applyAlignment="1">
      <alignment horizontal="right"/>
    </xf>
    <xf numFmtId="164" fontId="0" fillId="13" borderId="2" xfId="0" applyNumberFormat="1" applyFill="1" applyBorder="1" applyAlignment="1">
      <alignment horizontal="right"/>
    </xf>
    <xf numFmtId="164" fontId="0" fillId="13" borderId="20" xfId="0" applyNumberForma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0" xfId="0" applyBorder="1" applyAlignment="1">
      <alignment horizontal="right"/>
    </xf>
    <xf numFmtId="0" fontId="16" fillId="0" borderId="1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6" fillId="0" borderId="19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11C1C"/>
      <color rgb="FF1F4E78"/>
      <color rgb="FF2037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74</xdr:row>
      <xdr:rowOff>161925</xdr:rowOff>
    </xdr:from>
    <xdr:to>
      <xdr:col>2</xdr:col>
      <xdr:colOff>400050</xdr:colOff>
      <xdr:row>106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4F2661-A6DE-1B37-DF1C-08430C1AC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258925"/>
          <a:ext cx="5076825" cy="59626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Kevin Bentil" id="{32DFD3BF-5080-4B5F-8E02-61375EE2E8AF}" userId="S::kevin.bentil@ie.ey.com::2a6076f5-608a-4834-bef4-d09d5fd2fb5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60" dT="2025-08-21T13:48:32.88" personId="{32DFD3BF-5080-4B5F-8E02-61375EE2E8AF}" id="{BD25C0EA-E7A7-42E9-BF15-269B7CDD8ADC}">
    <text>Maintained by landlord</text>
  </threadedComment>
  <threadedComment ref="X60" dT="2025-08-21T13:48:40.66" personId="{32DFD3BF-5080-4B5F-8E02-61375EE2E8AF}" id="{7140D746-BD3F-43EC-ACB6-7FE7BDC2FCBE}">
    <text>Maintained by landlord</text>
  </threadedComment>
  <threadedComment ref="R180" dT="2025-08-21T13:57:12.44" personId="{32DFD3BF-5080-4B5F-8E02-61375EE2E8AF}" id="{3A149FED-2819-48C6-991B-5673F2BE4B32}">
    <text xml:space="preserve">Cover sheet indicates Q2 instead Q1.
</text>
  </threadedComment>
  <threadedComment ref="R201" dT="2025-08-21T14:23:47.78" personId="{32DFD3BF-5080-4B5F-8E02-61375EE2E8AF}" id="{FDDA9858-A46B-4B1C-A102-8C1588FF83E9}">
    <text>Change cover page to Q1</text>
  </threadedComment>
  <threadedComment ref="R223" dT="2025-08-21T14:23:41.81" personId="{32DFD3BF-5080-4B5F-8E02-61375EE2E8AF}" id="{D98B7243-AB3F-4812-8A06-10D935C9B6FB}">
    <text>Change cover page to Q1</text>
  </threadedComment>
  <threadedComment ref="X413" dT="2025-03-07T11:49:55.45" personId="{32DFD3BF-5080-4B5F-8E02-61375EE2E8AF}" id="{B43C5AEE-C6EF-4620-AC80-53FB85174513}">
    <text>@Amy this is done 6 months basis. Was missed out in the first file</text>
  </threadedComment>
  <threadedComment ref="X421" dT="2026-03-02T13:21:36.46" personId="{32DFD3BF-5080-4B5F-8E02-61375EE2E8AF}" id="{359DE4D8-61D6-4E08-85E3-CC2A42CEAA0A}">
    <text>Done by burlington</text>
  </threadedComment>
  <threadedComment ref="R428" dT="2025-08-21T14:28:11.38" personId="{32DFD3BF-5080-4B5F-8E02-61375EE2E8AF}" id="{B5A1C998-6611-4E35-A38F-3F3EBBB20694}">
    <text xml:space="preserve">Date on cover page to be changed
</text>
  </threadedComment>
  <threadedComment ref="AB543" dT="2026-01-12T10:29:04.63" personId="{32DFD3BF-5080-4B5F-8E02-61375EE2E8AF}" id="{E8EB32B2-278D-4D59-944A-F323B221F5B1}">
    <text>Vendor has committed to completing this in 2026. Email evidence available</text>
  </threadedComment>
  <threadedComment ref="W592" dT="2025-08-19T15:04:22.30" personId="{32DFD3BF-5080-4B5F-8E02-61375EE2E8AF}" id="{F9F66BD0-3A9C-4442-9562-F93EE8050DD9}">
    <text>Need filters. (2
)</text>
  </threadedComment>
  <threadedComment ref="S668" dT="2025-08-20T11:31:33.37" personId="{32DFD3BF-5080-4B5F-8E02-61375EE2E8AF}" id="{98420E0C-5ED5-4A05-A3D3-33B83EDD413A}">
    <text xml:space="preserve">Remedials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ites.ey.com/sites/EYISSOperationsSharpoint/Shared%20Documents/Forms/AllItems.aspx?viewid=0d837af0%2D4122%2D4ce2%2D8024%2D99ca05083824&amp;newTargetListUrl=%2Fsites%2FEYISSOperationsSharpoint%2FShared%20Documents&amp;viewpath=%2Fsites%2FEYISSOperationsSharpoint%2FShared%20Documents%2FForms%2FAllItems%2Easpx&amp;id=%2Fsites%2FEYISSOperationsSharpoint%2FShared%20Documents%2FISS%20%40%20EY%20Ireland%20Site%20Operations%20Folders%2FEY%20Ireland%20%28Test%20Folder%20%2D%20DO%20NOT%20USE%29%2FEY%20Waterford%20%2D%20The%20Atrium%2F1%2E%20Hard%20Services%2FAsset%20Maintenance%20%28PPM%20%26%20Reactive%29%2F54%2E03%20Split%20Systems%20%5F%20Heatpumps%2F2025%2FEY%20Waterford%20Split%20Systems%5FHeatpumps%20V1%202025%2Epdf&amp;parent=%2Fsites%2FEYISSOperationsSharpoint%2FShared%20Documents%2FISS%20%40%20EY%20Ireland%20Site%20Operations%20Folders%2FEY%20Ireland%20%28Test%20Folder%20%2D%20DO%20NOT%20USE%29%2FEY%20Waterford%20%2D%20The%20Atrium%2F1%2E%20Hard%20Services%2FAsset%20Maintenance%20%28PPM%20%26%20Reactive%29%2F54%2E03%20Split%20Systems%20%5F%20Heatpumps%2F2025" TargetMode="Externa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763B-E422-48F9-8D81-59C504062823}">
  <sheetPr>
    <pageSetUpPr fitToPage="1"/>
  </sheetPr>
  <dimension ref="A2:AC694"/>
  <sheetViews>
    <sheetView tabSelected="1" zoomScaleNormal="100" workbookViewId="0">
      <selection activeCell="F12" sqref="F12:F13"/>
    </sheetView>
  </sheetViews>
  <sheetFormatPr defaultColWidth="13.26953125" defaultRowHeight="15.5" x14ac:dyDescent="0.35"/>
  <cols>
    <col min="1" max="2" width="16.90625" style="122" bestFit="1" customWidth="1"/>
    <col min="3" max="3" width="19.1796875" style="180" bestFit="1" customWidth="1"/>
    <col min="4" max="4" width="14.81640625" style="180" bestFit="1" customWidth="1"/>
    <col min="5" max="5" width="12.81640625" style="180" bestFit="1" customWidth="1"/>
    <col min="6" max="7" width="13.453125" style="180" bestFit="1" customWidth="1"/>
    <col min="8" max="8" width="79.90625" style="122" bestFit="1" customWidth="1"/>
    <col min="9" max="9" width="15.81640625" style="180" bestFit="1" customWidth="1"/>
    <col min="10" max="10" width="15.54296875" style="122" bestFit="1" customWidth="1"/>
    <col min="11" max="11" width="12.36328125" style="122" bestFit="1" customWidth="1"/>
    <col min="12" max="12" width="18.90625" style="122" bestFit="1" customWidth="1"/>
    <col min="13" max="13" width="17.81640625" style="122" bestFit="1" customWidth="1"/>
    <col min="14" max="15" width="16.90625" style="181" bestFit="1" customWidth="1"/>
    <col min="16" max="16" width="15.08984375" style="181" bestFit="1" customWidth="1"/>
    <col min="17" max="19" width="11.26953125" style="122" bestFit="1" customWidth="1"/>
    <col min="20" max="20" width="10.1796875" style="122" bestFit="1" customWidth="1"/>
    <col min="21" max="23" width="11.26953125" style="122" bestFit="1" customWidth="1"/>
    <col min="24" max="24" width="11.7265625" style="122" bestFit="1" customWidth="1"/>
    <col min="25" max="26" width="7.6328125" style="122" bestFit="1" customWidth="1"/>
    <col min="27" max="27" width="10.1796875" style="122" bestFit="1" customWidth="1"/>
    <col min="28" max="28" width="7.6328125" style="122" bestFit="1" customWidth="1"/>
    <col min="29" max="29" width="12.81640625" style="5" bestFit="1" customWidth="1"/>
    <col min="30" max="30" width="13.26953125" style="5" customWidth="1"/>
    <col min="31" max="16384" width="13.26953125" style="5"/>
  </cols>
  <sheetData>
    <row r="2" spans="1:29" s="2" customFormat="1" x14ac:dyDescent="0.35">
      <c r="A2" s="52"/>
      <c r="B2" s="53" t="s">
        <v>0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  <c r="P2" s="55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1"/>
    </row>
    <row r="3" spans="1:29" ht="31" x14ac:dyDescent="0.35">
      <c r="A3" s="33" t="s">
        <v>1</v>
      </c>
      <c r="B3" s="33" t="s">
        <v>1</v>
      </c>
      <c r="C3" s="266" t="s">
        <v>2</v>
      </c>
      <c r="D3" s="267"/>
      <c r="E3" s="267"/>
      <c r="F3" s="57"/>
      <c r="G3" s="57"/>
      <c r="H3" s="58" t="s">
        <v>3</v>
      </c>
      <c r="I3" s="59" t="s">
        <v>4</v>
      </c>
      <c r="J3" s="60" t="s">
        <v>5</v>
      </c>
      <c r="K3" s="60" t="s">
        <v>6</v>
      </c>
      <c r="L3" s="60" t="s">
        <v>7</v>
      </c>
      <c r="M3" s="61" t="s">
        <v>8</v>
      </c>
      <c r="N3" s="62" t="s">
        <v>9</v>
      </c>
      <c r="O3" s="62" t="s">
        <v>10</v>
      </c>
      <c r="P3" s="62" t="s">
        <v>11</v>
      </c>
      <c r="Q3" s="268" t="s">
        <v>12</v>
      </c>
      <c r="R3" s="269"/>
      <c r="S3" s="269"/>
      <c r="T3" s="269"/>
      <c r="U3" s="269"/>
      <c r="V3" s="269"/>
      <c r="W3" s="269"/>
      <c r="X3" s="269"/>
      <c r="Y3" s="269"/>
      <c r="Z3" s="269"/>
      <c r="AA3" s="269"/>
      <c r="AB3" s="270"/>
      <c r="AC3" s="271" t="s">
        <v>13</v>
      </c>
    </row>
    <row r="4" spans="1:29" ht="31" x14ac:dyDescent="0.35">
      <c r="A4" s="63"/>
      <c r="B4" s="63"/>
      <c r="C4" s="64" t="s">
        <v>14</v>
      </c>
      <c r="D4" s="65" t="s">
        <v>15</v>
      </c>
      <c r="E4" s="65" t="s">
        <v>16</v>
      </c>
      <c r="F4" s="65" t="s">
        <v>17</v>
      </c>
      <c r="G4" s="65" t="s">
        <v>16</v>
      </c>
      <c r="H4" s="66"/>
      <c r="I4" s="67"/>
      <c r="J4" s="68"/>
      <c r="K4" s="68"/>
      <c r="L4" s="68"/>
      <c r="M4" s="68"/>
      <c r="N4" s="69"/>
      <c r="O4" s="69"/>
      <c r="P4" s="69"/>
      <c r="Q4" s="214" t="s">
        <v>18</v>
      </c>
      <c r="R4" s="214" t="s">
        <v>19</v>
      </c>
      <c r="S4" s="214" t="s">
        <v>20</v>
      </c>
      <c r="T4" s="214" t="s">
        <v>21</v>
      </c>
      <c r="U4" s="214" t="s">
        <v>22</v>
      </c>
      <c r="V4" s="214" t="s">
        <v>23</v>
      </c>
      <c r="W4" s="214" t="s">
        <v>24</v>
      </c>
      <c r="X4" s="214" t="s">
        <v>25</v>
      </c>
      <c r="Y4" s="214" t="s">
        <v>26</v>
      </c>
      <c r="Z4" s="214" t="s">
        <v>27</v>
      </c>
      <c r="AA4" s="214" t="s">
        <v>28</v>
      </c>
      <c r="AB4" s="214" t="s">
        <v>29</v>
      </c>
      <c r="AC4" s="272"/>
    </row>
    <row r="5" spans="1:29" x14ac:dyDescent="0.35">
      <c r="A5" s="63" t="s">
        <v>30</v>
      </c>
      <c r="B5" s="63" t="s">
        <v>31</v>
      </c>
      <c r="C5" s="70"/>
      <c r="D5" s="70" t="s">
        <v>32</v>
      </c>
      <c r="E5" s="70" t="s">
        <v>32</v>
      </c>
      <c r="F5" s="70" t="s">
        <v>33</v>
      </c>
      <c r="G5" s="70" t="s">
        <v>33</v>
      </c>
      <c r="H5" s="66" t="s">
        <v>34</v>
      </c>
      <c r="I5" s="67" t="s">
        <v>35</v>
      </c>
      <c r="J5" s="68" t="s">
        <v>36</v>
      </c>
      <c r="K5" s="69"/>
      <c r="L5" s="69"/>
      <c r="M5" s="69"/>
      <c r="N5" s="69"/>
      <c r="O5" s="69"/>
      <c r="P5" s="69"/>
      <c r="Q5" s="215">
        <v>2025</v>
      </c>
      <c r="R5" s="215">
        <v>2025</v>
      </c>
      <c r="S5" s="215">
        <v>2025</v>
      </c>
      <c r="T5" s="215">
        <v>2025</v>
      </c>
      <c r="U5" s="215">
        <v>2025</v>
      </c>
      <c r="V5" s="215">
        <v>2025</v>
      </c>
      <c r="W5" s="215">
        <v>2025</v>
      </c>
      <c r="X5" s="215">
        <v>2025</v>
      </c>
      <c r="Y5" s="215">
        <v>2025</v>
      </c>
      <c r="Z5" s="215">
        <v>2025</v>
      </c>
      <c r="AA5" s="215">
        <v>2025</v>
      </c>
      <c r="AB5" s="215">
        <v>2025</v>
      </c>
      <c r="AC5" s="272"/>
    </row>
    <row r="6" spans="1:29" ht="31" x14ac:dyDescent="0.35">
      <c r="A6" s="71" t="s">
        <v>37</v>
      </c>
      <c r="B6" s="83" t="s">
        <v>38</v>
      </c>
      <c r="C6" s="84" t="s">
        <v>39</v>
      </c>
      <c r="D6" s="84"/>
      <c r="E6" s="85" t="s">
        <v>40</v>
      </c>
      <c r="F6" s="84"/>
      <c r="G6" s="85" t="s">
        <v>40</v>
      </c>
      <c r="H6" s="83" t="s">
        <v>41</v>
      </c>
      <c r="I6" s="84" t="s">
        <v>42</v>
      </c>
      <c r="J6" s="83" t="s">
        <v>43</v>
      </c>
      <c r="K6" s="83" t="s">
        <v>43</v>
      </c>
      <c r="L6" s="83"/>
      <c r="M6" s="83" t="s">
        <v>44</v>
      </c>
      <c r="N6" s="86">
        <v>744.48</v>
      </c>
      <c r="O6" s="86">
        <v>960</v>
      </c>
      <c r="P6" s="86"/>
      <c r="Q6" s="87"/>
      <c r="R6" s="87"/>
      <c r="S6" s="87"/>
      <c r="T6" s="87"/>
      <c r="U6" s="254" t="s">
        <v>45</v>
      </c>
      <c r="V6" s="87"/>
      <c r="W6" s="87"/>
      <c r="X6" s="87"/>
      <c r="Y6" s="87"/>
      <c r="Z6" s="87"/>
      <c r="AA6" s="93" t="s">
        <v>46</v>
      </c>
      <c r="AB6" s="87"/>
      <c r="AC6" s="8"/>
    </row>
    <row r="7" spans="1:29" s="2" customFormat="1" ht="31" x14ac:dyDescent="0.35">
      <c r="A7" s="79" t="s">
        <v>37</v>
      </c>
      <c r="B7" s="80" t="s">
        <v>38</v>
      </c>
      <c r="C7" s="80" t="s">
        <v>39</v>
      </c>
      <c r="D7" s="80"/>
      <c r="E7" s="80"/>
      <c r="F7" s="80"/>
      <c r="G7" s="80"/>
      <c r="H7" s="80" t="s">
        <v>47</v>
      </c>
      <c r="I7" s="80"/>
      <c r="J7" s="80"/>
      <c r="K7" s="80"/>
      <c r="L7" s="80"/>
      <c r="M7" s="80"/>
      <c r="N7" s="80"/>
      <c r="O7" s="81"/>
      <c r="P7" s="81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3"/>
    </row>
    <row r="8" spans="1:29" s="2" customFormat="1" ht="31" x14ac:dyDescent="0.35">
      <c r="A8" s="79" t="s">
        <v>37</v>
      </c>
      <c r="B8" s="80" t="s">
        <v>38</v>
      </c>
      <c r="C8" s="80" t="s">
        <v>39</v>
      </c>
      <c r="D8" s="80"/>
      <c r="E8" s="80"/>
      <c r="F8" s="80"/>
      <c r="G8" s="80"/>
      <c r="H8" s="80" t="s">
        <v>48</v>
      </c>
      <c r="I8" s="80"/>
      <c r="J8" s="80"/>
      <c r="K8" s="80"/>
      <c r="L8" s="80"/>
      <c r="M8" s="80"/>
      <c r="N8" s="80"/>
      <c r="O8" s="81"/>
      <c r="P8" s="81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3"/>
    </row>
    <row r="9" spans="1:29" ht="31" x14ac:dyDescent="0.35">
      <c r="A9" s="71" t="s">
        <v>37</v>
      </c>
      <c r="B9" s="83" t="s">
        <v>38</v>
      </c>
      <c r="C9" s="84" t="s">
        <v>49</v>
      </c>
      <c r="D9" s="84"/>
      <c r="E9" s="85" t="s">
        <v>40</v>
      </c>
      <c r="F9" s="84"/>
      <c r="G9" s="85" t="s">
        <v>40</v>
      </c>
      <c r="H9" s="83" t="s">
        <v>50</v>
      </c>
      <c r="I9" s="84" t="s">
        <v>42</v>
      </c>
      <c r="J9" s="83" t="s">
        <v>43</v>
      </c>
      <c r="K9" s="83" t="s">
        <v>43</v>
      </c>
      <c r="L9" s="83"/>
      <c r="M9" s="83" t="s">
        <v>44</v>
      </c>
      <c r="N9" s="86">
        <v>744.48</v>
      </c>
      <c r="O9" s="86" t="s">
        <v>51</v>
      </c>
      <c r="P9" s="86"/>
      <c r="Q9" s="87"/>
      <c r="R9" s="87"/>
      <c r="S9" s="87"/>
      <c r="T9" s="87"/>
      <c r="U9" s="93" t="s">
        <v>45</v>
      </c>
      <c r="V9" s="87"/>
      <c r="W9" s="87"/>
      <c r="X9" s="87"/>
      <c r="Y9" s="87"/>
      <c r="Z9" s="87"/>
      <c r="AA9" s="93" t="s">
        <v>46</v>
      </c>
      <c r="AB9" s="87"/>
      <c r="AC9" s="8"/>
    </row>
    <row r="10" spans="1:29" s="2" customFormat="1" ht="31" x14ac:dyDescent="0.35">
      <c r="A10" s="79" t="s">
        <v>37</v>
      </c>
      <c r="B10" s="80" t="s">
        <v>38</v>
      </c>
      <c r="C10" s="80" t="s">
        <v>49</v>
      </c>
      <c r="D10" s="80"/>
      <c r="E10" s="80"/>
      <c r="F10" s="80"/>
      <c r="G10" s="80"/>
      <c r="H10" s="80" t="s">
        <v>52</v>
      </c>
      <c r="I10" s="80"/>
      <c r="J10" s="80"/>
      <c r="K10" s="80"/>
      <c r="L10" s="80"/>
      <c r="M10" s="80"/>
      <c r="N10" s="80"/>
      <c r="O10" s="81"/>
      <c r="P10" s="81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3"/>
    </row>
    <row r="11" spans="1:29" s="2" customFormat="1" ht="31" x14ac:dyDescent="0.35">
      <c r="A11" s="79" t="s">
        <v>37</v>
      </c>
      <c r="B11" s="80" t="s">
        <v>38</v>
      </c>
      <c r="C11" s="80" t="s">
        <v>49</v>
      </c>
      <c r="D11" s="80"/>
      <c r="E11" s="80"/>
      <c r="F11" s="80"/>
      <c r="G11" s="80"/>
      <c r="H11" s="80" t="s">
        <v>53</v>
      </c>
      <c r="I11" s="80"/>
      <c r="J11" s="80"/>
      <c r="K11" s="80"/>
      <c r="L11" s="80"/>
      <c r="M11" s="80"/>
      <c r="N11" s="80"/>
      <c r="O11" s="81"/>
      <c r="P11" s="81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3"/>
    </row>
    <row r="12" spans="1:29" s="2" customFormat="1" ht="31" x14ac:dyDescent="0.35">
      <c r="A12" s="79" t="s">
        <v>37</v>
      </c>
      <c r="B12" s="80" t="s">
        <v>38</v>
      </c>
      <c r="C12" s="80" t="s">
        <v>49</v>
      </c>
      <c r="D12" s="80"/>
      <c r="E12" s="80"/>
      <c r="F12" s="80"/>
      <c r="G12" s="80"/>
      <c r="H12" s="80" t="s">
        <v>54</v>
      </c>
      <c r="I12" s="80"/>
      <c r="J12" s="80"/>
      <c r="K12" s="80"/>
      <c r="L12" s="80"/>
      <c r="M12" s="80"/>
      <c r="N12" s="80"/>
      <c r="O12" s="81"/>
      <c r="P12" s="81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3"/>
    </row>
    <row r="13" spans="1:29" s="2" customFormat="1" ht="31" x14ac:dyDescent="0.35">
      <c r="A13" s="79" t="s">
        <v>37</v>
      </c>
      <c r="B13" s="80" t="s">
        <v>38</v>
      </c>
      <c r="C13" s="80" t="s">
        <v>55</v>
      </c>
      <c r="D13" s="80"/>
      <c r="E13" s="80"/>
      <c r="F13" s="80"/>
      <c r="G13" s="80"/>
      <c r="H13" s="80" t="s">
        <v>56</v>
      </c>
      <c r="I13" s="80"/>
      <c r="J13" s="80"/>
      <c r="K13" s="80"/>
      <c r="L13" s="80"/>
      <c r="M13" s="80"/>
      <c r="N13" s="80"/>
      <c r="O13" s="81"/>
      <c r="P13" s="81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3"/>
    </row>
    <row r="14" spans="1:29" s="2" customFormat="1" ht="31" x14ac:dyDescent="0.35">
      <c r="A14" s="79" t="s">
        <v>37</v>
      </c>
      <c r="B14" s="80" t="s">
        <v>38</v>
      </c>
      <c r="C14" s="80" t="s">
        <v>55</v>
      </c>
      <c r="D14" s="80"/>
      <c r="E14" s="80"/>
      <c r="F14" s="80"/>
      <c r="G14" s="80"/>
      <c r="H14" s="80" t="s">
        <v>57</v>
      </c>
      <c r="I14" s="80"/>
      <c r="J14" s="80"/>
      <c r="K14" s="80"/>
      <c r="L14" s="80"/>
      <c r="M14" s="80"/>
      <c r="N14" s="80"/>
      <c r="O14" s="81"/>
      <c r="P14" s="81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3"/>
    </row>
    <row r="15" spans="1:29" s="2" customFormat="1" ht="31" x14ac:dyDescent="0.35">
      <c r="A15" s="79" t="s">
        <v>37</v>
      </c>
      <c r="B15" s="80" t="s">
        <v>38</v>
      </c>
      <c r="C15" s="80" t="s">
        <v>55</v>
      </c>
      <c r="D15" s="80"/>
      <c r="E15" s="80"/>
      <c r="F15" s="80"/>
      <c r="G15" s="80"/>
      <c r="H15" s="80" t="s">
        <v>58</v>
      </c>
      <c r="I15" s="80"/>
      <c r="J15" s="80"/>
      <c r="K15" s="80"/>
      <c r="L15" s="80"/>
      <c r="M15" s="80"/>
      <c r="N15" s="80"/>
      <c r="O15" s="81"/>
      <c r="P15" s="81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3"/>
    </row>
    <row r="16" spans="1:29" s="2" customFormat="1" ht="31" x14ac:dyDescent="0.35">
      <c r="A16" s="79" t="s">
        <v>37</v>
      </c>
      <c r="B16" s="80" t="s">
        <v>38</v>
      </c>
      <c r="C16" s="80" t="s">
        <v>55</v>
      </c>
      <c r="D16" s="80"/>
      <c r="E16" s="80"/>
      <c r="F16" s="80"/>
      <c r="G16" s="80"/>
      <c r="H16" s="80" t="s">
        <v>59</v>
      </c>
      <c r="I16" s="80"/>
      <c r="J16" s="80"/>
      <c r="K16" s="80"/>
      <c r="L16" s="80"/>
      <c r="M16" s="80"/>
      <c r="N16" s="80"/>
      <c r="O16" s="81"/>
      <c r="P16" s="81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3"/>
    </row>
    <row r="17" spans="1:29" s="2" customFormat="1" ht="31" x14ac:dyDescent="0.35">
      <c r="A17" s="79" t="s">
        <v>37</v>
      </c>
      <c r="B17" s="80" t="s">
        <v>38</v>
      </c>
      <c r="C17" s="80" t="s">
        <v>55</v>
      </c>
      <c r="D17" s="80"/>
      <c r="E17" s="80"/>
      <c r="F17" s="80"/>
      <c r="G17" s="80"/>
      <c r="H17" s="80" t="s">
        <v>60</v>
      </c>
      <c r="I17" s="80"/>
      <c r="J17" s="80"/>
      <c r="K17" s="80"/>
      <c r="L17" s="80"/>
      <c r="M17" s="80"/>
      <c r="N17" s="80"/>
      <c r="O17" s="81"/>
      <c r="P17" s="81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3"/>
    </row>
    <row r="18" spans="1:29" s="2" customFormat="1" ht="31" x14ac:dyDescent="0.35">
      <c r="A18" s="79" t="s">
        <v>37</v>
      </c>
      <c r="B18" s="80" t="s">
        <v>38</v>
      </c>
      <c r="C18" s="80" t="s">
        <v>55</v>
      </c>
      <c r="D18" s="80"/>
      <c r="E18" s="80"/>
      <c r="F18" s="80"/>
      <c r="G18" s="80"/>
      <c r="H18" s="80" t="s">
        <v>61</v>
      </c>
      <c r="I18" s="80"/>
      <c r="J18" s="80"/>
      <c r="K18" s="80"/>
      <c r="L18" s="80"/>
      <c r="M18" s="80"/>
      <c r="N18" s="80"/>
      <c r="O18" s="81"/>
      <c r="P18" s="81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3"/>
    </row>
    <row r="19" spans="1:29" s="2" customFormat="1" ht="31" x14ac:dyDescent="0.35">
      <c r="A19" s="79" t="s">
        <v>37</v>
      </c>
      <c r="B19" s="80" t="s">
        <v>38</v>
      </c>
      <c r="C19" s="80" t="s">
        <v>55</v>
      </c>
      <c r="D19" s="80"/>
      <c r="E19" s="80"/>
      <c r="F19" s="80"/>
      <c r="G19" s="80"/>
      <c r="H19" s="80" t="s">
        <v>62</v>
      </c>
      <c r="I19" s="80"/>
      <c r="J19" s="80"/>
      <c r="K19" s="80"/>
      <c r="L19" s="80"/>
      <c r="M19" s="80"/>
      <c r="N19" s="80"/>
      <c r="O19" s="81"/>
      <c r="P19" s="81"/>
      <c r="Q19" s="82"/>
      <c r="R19" s="82"/>
      <c r="S19" s="188"/>
      <c r="T19" s="188"/>
      <c r="U19" s="188"/>
      <c r="V19" s="188"/>
      <c r="W19" s="188"/>
      <c r="X19" s="188"/>
      <c r="Y19" s="82"/>
      <c r="Z19" s="82"/>
      <c r="AA19" s="82"/>
      <c r="AB19" s="82"/>
      <c r="AC19" s="3"/>
    </row>
    <row r="20" spans="1:29" ht="31" x14ac:dyDescent="0.35">
      <c r="A20" s="71" t="s">
        <v>37</v>
      </c>
      <c r="B20" s="83" t="s">
        <v>38</v>
      </c>
      <c r="C20" s="84" t="s">
        <v>63</v>
      </c>
      <c r="D20" s="84"/>
      <c r="E20" s="85" t="s">
        <v>64</v>
      </c>
      <c r="F20" s="84"/>
      <c r="G20" s="84"/>
      <c r="H20" s="83" t="s">
        <v>65</v>
      </c>
      <c r="I20" s="84" t="s">
        <v>42</v>
      </c>
      <c r="J20" s="83" t="s">
        <v>43</v>
      </c>
      <c r="K20" s="83" t="s">
        <v>43</v>
      </c>
      <c r="L20" s="88" t="s">
        <v>66</v>
      </c>
      <c r="M20" s="72" t="s">
        <v>67</v>
      </c>
      <c r="N20" s="86">
        <v>0</v>
      </c>
      <c r="O20" s="86">
        <v>0</v>
      </c>
      <c r="P20" s="86"/>
      <c r="Q20" s="208" t="s">
        <v>64</v>
      </c>
      <c r="R20" s="186"/>
      <c r="S20" s="145"/>
      <c r="T20" s="216" t="s">
        <v>68</v>
      </c>
      <c r="U20" s="145"/>
      <c r="V20" s="145"/>
      <c r="W20" s="216" t="s">
        <v>68</v>
      </c>
      <c r="X20" s="145"/>
      <c r="Y20" s="130"/>
      <c r="Z20" s="93" t="s">
        <v>68</v>
      </c>
      <c r="AA20" s="87"/>
      <c r="AB20" s="87"/>
      <c r="AC20" s="8"/>
    </row>
    <row r="21" spans="1:29" s="2" customFormat="1" ht="31" x14ac:dyDescent="0.35">
      <c r="A21" s="79" t="s">
        <v>37</v>
      </c>
      <c r="B21" s="80" t="s">
        <v>38</v>
      </c>
      <c r="C21" s="80" t="s">
        <v>63</v>
      </c>
      <c r="D21" s="80"/>
      <c r="E21" s="80"/>
      <c r="F21" s="80"/>
      <c r="G21" s="80"/>
      <c r="H21" s="80" t="s">
        <v>69</v>
      </c>
      <c r="I21" s="80"/>
      <c r="J21" s="80"/>
      <c r="K21" s="80"/>
      <c r="L21" s="80"/>
      <c r="M21" s="80"/>
      <c r="N21" s="80"/>
      <c r="O21" s="81"/>
      <c r="P21" s="81"/>
      <c r="Q21" s="82"/>
      <c r="R21" s="82"/>
      <c r="S21" s="189"/>
      <c r="T21" s="189"/>
      <c r="U21" s="189"/>
      <c r="V21" s="189"/>
      <c r="W21" s="189"/>
      <c r="X21" s="189"/>
      <c r="Y21" s="82"/>
      <c r="Z21" s="82"/>
      <c r="AA21" s="82"/>
      <c r="AB21" s="82"/>
      <c r="AC21" s="3"/>
    </row>
    <row r="22" spans="1:29" s="2" customFormat="1" ht="31" x14ac:dyDescent="0.35">
      <c r="A22" s="79" t="s">
        <v>37</v>
      </c>
      <c r="B22" s="80" t="s">
        <v>38</v>
      </c>
      <c r="C22" s="80" t="s">
        <v>63</v>
      </c>
      <c r="D22" s="80"/>
      <c r="E22" s="80"/>
      <c r="F22" s="80"/>
      <c r="G22" s="80"/>
      <c r="H22" s="80" t="s">
        <v>70</v>
      </c>
      <c r="I22" s="80"/>
      <c r="J22" s="80"/>
      <c r="K22" s="80"/>
      <c r="L22" s="80"/>
      <c r="M22" s="80"/>
      <c r="N22" s="80"/>
      <c r="O22" s="81"/>
      <c r="P22" s="81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3"/>
    </row>
    <row r="23" spans="1:29" ht="46.5" x14ac:dyDescent="0.35">
      <c r="A23" s="71" t="s">
        <v>37</v>
      </c>
      <c r="B23" s="83" t="s">
        <v>38</v>
      </c>
      <c r="C23" s="84" t="s">
        <v>71</v>
      </c>
      <c r="D23" s="89" t="s">
        <v>72</v>
      </c>
      <c r="E23" s="84"/>
      <c r="F23" s="84"/>
      <c r="G23" s="84"/>
      <c r="H23" s="83" t="s">
        <v>73</v>
      </c>
      <c r="I23" s="84" t="s">
        <v>42</v>
      </c>
      <c r="J23" s="83" t="s">
        <v>74</v>
      </c>
      <c r="K23" s="83" t="s">
        <v>75</v>
      </c>
      <c r="L23" s="88" t="s">
        <v>66</v>
      </c>
      <c r="M23" s="72" t="s">
        <v>67</v>
      </c>
      <c r="N23" s="86">
        <v>0</v>
      </c>
      <c r="O23" s="86">
        <v>0</v>
      </c>
      <c r="P23" s="86"/>
      <c r="Q23" s="87"/>
      <c r="R23" s="87"/>
      <c r="S23" s="87"/>
      <c r="T23" s="87"/>
      <c r="U23" s="78" t="s">
        <v>72</v>
      </c>
      <c r="V23" s="87"/>
      <c r="W23" s="87"/>
      <c r="X23" s="87"/>
      <c r="Y23" s="87"/>
      <c r="Z23" s="87"/>
      <c r="AA23" s="87"/>
      <c r="AB23" s="87"/>
      <c r="AC23" s="8"/>
    </row>
    <row r="24" spans="1:29" s="2" customFormat="1" ht="46.5" x14ac:dyDescent="0.35">
      <c r="A24" s="79" t="s">
        <v>37</v>
      </c>
      <c r="B24" s="80" t="s">
        <v>38</v>
      </c>
      <c r="C24" s="80" t="s">
        <v>71</v>
      </c>
      <c r="D24" s="80"/>
      <c r="E24" s="80"/>
      <c r="F24" s="80"/>
      <c r="G24" s="80"/>
      <c r="H24" s="80" t="s">
        <v>76</v>
      </c>
      <c r="I24" s="80"/>
      <c r="J24" s="80"/>
      <c r="K24" s="80"/>
      <c r="L24" s="80"/>
      <c r="M24" s="80"/>
      <c r="N24" s="80"/>
      <c r="O24" s="81"/>
      <c r="P24" s="81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3"/>
    </row>
    <row r="25" spans="1:29" s="2" customFormat="1" ht="46.5" x14ac:dyDescent="0.35">
      <c r="A25" s="79" t="s">
        <v>37</v>
      </c>
      <c r="B25" s="80" t="s">
        <v>38</v>
      </c>
      <c r="C25" s="80" t="s">
        <v>71</v>
      </c>
      <c r="D25" s="80"/>
      <c r="E25" s="80"/>
      <c r="F25" s="80"/>
      <c r="G25" s="80"/>
      <c r="H25" s="80" t="s">
        <v>77</v>
      </c>
      <c r="I25" s="80"/>
      <c r="J25" s="80"/>
      <c r="K25" s="80"/>
      <c r="L25" s="80"/>
      <c r="M25" s="80"/>
      <c r="N25" s="80"/>
      <c r="O25" s="81"/>
      <c r="P25" s="81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3"/>
    </row>
    <row r="26" spans="1:29" s="2" customFormat="1" ht="46.5" x14ac:dyDescent="0.35">
      <c r="A26" s="79" t="s">
        <v>37</v>
      </c>
      <c r="B26" s="80" t="s">
        <v>38</v>
      </c>
      <c r="C26" s="80" t="s">
        <v>71</v>
      </c>
      <c r="D26" s="80"/>
      <c r="E26" s="80"/>
      <c r="F26" s="80"/>
      <c r="G26" s="80"/>
      <c r="H26" s="80" t="s">
        <v>78</v>
      </c>
      <c r="I26" s="80"/>
      <c r="J26" s="80"/>
      <c r="K26" s="80"/>
      <c r="L26" s="80"/>
      <c r="M26" s="80"/>
      <c r="N26" s="80"/>
      <c r="O26" s="81"/>
      <c r="P26" s="81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3"/>
    </row>
    <row r="27" spans="1:29" s="2" customFormat="1" ht="46.5" x14ac:dyDescent="0.35">
      <c r="A27" s="79" t="s">
        <v>37</v>
      </c>
      <c r="B27" s="80" t="s">
        <v>38</v>
      </c>
      <c r="C27" s="80" t="s">
        <v>71</v>
      </c>
      <c r="D27" s="80"/>
      <c r="E27" s="80"/>
      <c r="F27" s="80"/>
      <c r="G27" s="80"/>
      <c r="H27" s="80" t="s">
        <v>79</v>
      </c>
      <c r="I27" s="80"/>
      <c r="J27" s="80"/>
      <c r="K27" s="80"/>
      <c r="L27" s="80"/>
      <c r="M27" s="80"/>
      <c r="N27" s="80"/>
      <c r="O27" s="81"/>
      <c r="P27" s="81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3"/>
    </row>
    <row r="28" spans="1:29" ht="31" x14ac:dyDescent="0.35">
      <c r="A28" s="71" t="s">
        <v>37</v>
      </c>
      <c r="B28" s="83" t="s">
        <v>38</v>
      </c>
      <c r="C28" s="84" t="s">
        <v>80</v>
      </c>
      <c r="D28" s="84"/>
      <c r="E28" s="85" t="s">
        <v>72</v>
      </c>
      <c r="F28" s="84"/>
      <c r="G28" s="84"/>
      <c r="H28" s="83" t="s">
        <v>81</v>
      </c>
      <c r="I28" s="84" t="s">
        <v>42</v>
      </c>
      <c r="J28" s="88" t="s">
        <v>82</v>
      </c>
      <c r="K28" s="88" t="s">
        <v>75</v>
      </c>
      <c r="L28" s="88"/>
      <c r="M28" s="83" t="s">
        <v>44</v>
      </c>
      <c r="N28" s="86" t="s">
        <v>83</v>
      </c>
      <c r="O28" s="91">
        <v>1600</v>
      </c>
      <c r="P28" s="91"/>
      <c r="Q28" s="87"/>
      <c r="R28" s="87"/>
      <c r="S28" s="87"/>
      <c r="T28" s="87"/>
      <c r="U28" s="78" t="s">
        <v>72</v>
      </c>
      <c r="V28" s="87"/>
      <c r="W28" s="87"/>
      <c r="X28" s="87"/>
      <c r="Y28" s="87"/>
      <c r="Z28" s="87"/>
      <c r="AA28" s="87"/>
      <c r="AB28" s="87"/>
      <c r="AC28" s="8"/>
    </row>
    <row r="29" spans="1:29" s="2" customFormat="1" ht="31" x14ac:dyDescent="0.35">
      <c r="A29" s="79" t="s">
        <v>37</v>
      </c>
      <c r="B29" s="80" t="s">
        <v>38</v>
      </c>
      <c r="C29" s="80" t="s">
        <v>80</v>
      </c>
      <c r="D29" s="80"/>
      <c r="E29" s="80"/>
      <c r="F29" s="80"/>
      <c r="G29" s="80"/>
      <c r="H29" s="80" t="s">
        <v>84</v>
      </c>
      <c r="I29" s="80"/>
      <c r="J29" s="80"/>
      <c r="K29" s="80"/>
      <c r="L29" s="80"/>
      <c r="M29" s="80"/>
      <c r="N29" s="80"/>
      <c r="O29" s="81"/>
      <c r="P29" s="81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3"/>
    </row>
    <row r="30" spans="1:29" ht="31" x14ac:dyDescent="0.35">
      <c r="A30" s="71" t="s">
        <v>37</v>
      </c>
      <c r="B30" s="83" t="s">
        <v>38</v>
      </c>
      <c r="C30" s="84" t="s">
        <v>55</v>
      </c>
      <c r="D30" s="84"/>
      <c r="E30" s="85" t="s">
        <v>72</v>
      </c>
      <c r="F30" s="84"/>
      <c r="G30" s="84"/>
      <c r="H30" s="83" t="s">
        <v>85</v>
      </c>
      <c r="I30" s="84" t="s">
        <v>42</v>
      </c>
      <c r="J30" s="83" t="s">
        <v>43</v>
      </c>
      <c r="K30" s="83" t="s">
        <v>43</v>
      </c>
      <c r="L30" s="83"/>
      <c r="M30" s="83" t="s">
        <v>44</v>
      </c>
      <c r="N30" s="86">
        <v>93.06</v>
      </c>
      <c r="O30" s="86">
        <v>480</v>
      </c>
      <c r="P30" s="86"/>
      <c r="Q30" s="87"/>
      <c r="R30" s="87"/>
      <c r="S30" s="87"/>
      <c r="T30" s="87"/>
      <c r="U30" s="93" t="s">
        <v>86</v>
      </c>
      <c r="V30" s="87"/>
      <c r="W30" s="87"/>
      <c r="X30" s="87"/>
      <c r="Y30" s="87"/>
      <c r="Z30" s="87"/>
      <c r="AA30" s="87"/>
      <c r="AB30" s="87"/>
      <c r="AC30" s="8"/>
    </row>
    <row r="31" spans="1:29" s="2" customFormat="1" ht="31" x14ac:dyDescent="0.35">
      <c r="A31" s="79" t="s">
        <v>37</v>
      </c>
      <c r="B31" s="80" t="s">
        <v>38</v>
      </c>
      <c r="C31" s="80" t="s">
        <v>87</v>
      </c>
      <c r="D31" s="80"/>
      <c r="E31" s="80"/>
      <c r="F31" s="80"/>
      <c r="G31" s="80"/>
      <c r="H31" s="80" t="s">
        <v>88</v>
      </c>
      <c r="I31" s="80"/>
      <c r="J31" s="80"/>
      <c r="K31" s="80"/>
      <c r="L31" s="80"/>
      <c r="M31" s="80"/>
      <c r="N31" s="80"/>
      <c r="O31" s="81"/>
      <c r="P31" s="81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3"/>
    </row>
    <row r="32" spans="1:29" s="2" customFormat="1" ht="31" x14ac:dyDescent="0.35">
      <c r="A32" s="79" t="s">
        <v>37</v>
      </c>
      <c r="B32" s="80" t="s">
        <v>38</v>
      </c>
      <c r="C32" s="80" t="s">
        <v>87</v>
      </c>
      <c r="D32" s="80"/>
      <c r="E32" s="80"/>
      <c r="F32" s="80"/>
      <c r="G32" s="80"/>
      <c r="H32" s="80" t="s">
        <v>89</v>
      </c>
      <c r="I32" s="80"/>
      <c r="J32" s="80"/>
      <c r="K32" s="80"/>
      <c r="L32" s="80"/>
      <c r="M32" s="80"/>
      <c r="N32" s="80"/>
      <c r="O32" s="81"/>
      <c r="P32" s="81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3"/>
    </row>
    <row r="33" spans="1:29" ht="31" x14ac:dyDescent="0.35">
      <c r="A33" s="83" t="s">
        <v>37</v>
      </c>
      <c r="B33" s="83" t="s">
        <v>38</v>
      </c>
      <c r="C33" s="84" t="s">
        <v>90</v>
      </c>
      <c r="D33" s="92" t="s">
        <v>72</v>
      </c>
      <c r="E33" s="84"/>
      <c r="F33" s="84"/>
      <c r="G33" s="84"/>
      <c r="H33" s="83" t="s">
        <v>91</v>
      </c>
      <c r="I33" s="84" t="s">
        <v>42</v>
      </c>
      <c r="J33" s="83" t="s">
        <v>92</v>
      </c>
      <c r="K33" s="83" t="s">
        <v>75</v>
      </c>
      <c r="L33" s="83"/>
      <c r="M33" s="83"/>
      <c r="N33" s="86">
        <v>713.34</v>
      </c>
      <c r="O33" s="86">
        <v>80</v>
      </c>
      <c r="P33" s="218"/>
      <c r="Q33" s="145"/>
      <c r="R33" s="216" t="s">
        <v>86</v>
      </c>
      <c r="S33" s="145"/>
      <c r="T33" s="145"/>
      <c r="U33" s="145"/>
      <c r="V33" s="145"/>
      <c r="W33" s="145"/>
      <c r="X33" s="145"/>
      <c r="Y33" s="145"/>
      <c r="Z33" s="145"/>
      <c r="AA33" s="145"/>
      <c r="AB33" s="145"/>
      <c r="AC33" s="51"/>
    </row>
    <row r="34" spans="1:29" ht="31" x14ac:dyDescent="0.35">
      <c r="A34" s="83" t="s">
        <v>37</v>
      </c>
      <c r="B34" s="83" t="s">
        <v>38</v>
      </c>
      <c r="C34" s="84"/>
      <c r="D34" s="92"/>
      <c r="E34" s="84"/>
      <c r="F34" s="84"/>
      <c r="G34" s="84"/>
      <c r="H34" s="83" t="s">
        <v>93</v>
      </c>
      <c r="I34" s="84" t="s">
        <v>42</v>
      </c>
      <c r="J34" s="83" t="s">
        <v>94</v>
      </c>
      <c r="K34" s="83" t="s">
        <v>75</v>
      </c>
      <c r="L34" s="83"/>
      <c r="M34" s="83"/>
      <c r="N34" s="86"/>
      <c r="O34" s="86"/>
      <c r="P34" s="86"/>
      <c r="Q34" s="110"/>
      <c r="R34" s="205" t="s">
        <v>86</v>
      </c>
      <c r="S34" s="110"/>
      <c r="T34" s="110"/>
      <c r="U34" s="110"/>
      <c r="V34" s="110"/>
      <c r="W34" s="110"/>
      <c r="X34" s="110"/>
      <c r="Y34" s="110"/>
      <c r="Z34" s="110"/>
      <c r="AA34" s="110"/>
      <c r="AB34" s="110"/>
      <c r="AC34" s="8"/>
    </row>
    <row r="35" spans="1:29" ht="31" x14ac:dyDescent="0.35">
      <c r="A35" s="83" t="s">
        <v>37</v>
      </c>
      <c r="B35" s="83" t="s">
        <v>38</v>
      </c>
      <c r="C35" s="84" t="s">
        <v>95</v>
      </c>
      <c r="D35" s="92" t="s">
        <v>72</v>
      </c>
      <c r="E35" s="84"/>
      <c r="F35" s="84"/>
      <c r="G35" s="84"/>
      <c r="H35" s="83" t="s">
        <v>96</v>
      </c>
      <c r="I35" s="84" t="s">
        <v>42</v>
      </c>
      <c r="J35" s="83" t="s">
        <v>43</v>
      </c>
      <c r="K35" s="83" t="s">
        <v>43</v>
      </c>
      <c r="L35" s="83"/>
      <c r="M35" s="83" t="s">
        <v>44</v>
      </c>
      <c r="N35" s="94">
        <v>93.06</v>
      </c>
      <c r="O35" s="86">
        <v>480</v>
      </c>
      <c r="P35" s="86"/>
      <c r="Q35" s="87"/>
      <c r="R35" s="87"/>
      <c r="S35" s="87"/>
      <c r="T35" s="87"/>
      <c r="U35" s="78" t="s">
        <v>72</v>
      </c>
      <c r="V35" s="87"/>
      <c r="W35" s="87"/>
      <c r="X35" s="87"/>
      <c r="Y35" s="87"/>
      <c r="Z35" s="87"/>
      <c r="AA35" s="87"/>
      <c r="AB35" s="87"/>
      <c r="AC35" s="8"/>
    </row>
    <row r="36" spans="1:29" ht="31" x14ac:dyDescent="0.35">
      <c r="A36" s="95" t="s">
        <v>37</v>
      </c>
      <c r="B36" s="95" t="s">
        <v>38</v>
      </c>
      <c r="C36" s="96" t="s">
        <v>97</v>
      </c>
      <c r="D36" s="84"/>
      <c r="E36" s="98" t="s">
        <v>64</v>
      </c>
      <c r="F36" s="84"/>
      <c r="G36" s="98" t="s">
        <v>72</v>
      </c>
      <c r="H36" s="95" t="s">
        <v>98</v>
      </c>
      <c r="I36" s="96" t="s">
        <v>42</v>
      </c>
      <c r="J36" s="83" t="s">
        <v>94</v>
      </c>
      <c r="K36" s="83" t="s">
        <v>75</v>
      </c>
      <c r="L36" s="83" t="s">
        <v>66</v>
      </c>
      <c r="M36" s="72" t="s">
        <v>67</v>
      </c>
      <c r="N36" s="86">
        <v>1310.0999999999999</v>
      </c>
      <c r="O36" s="86">
        <v>0</v>
      </c>
      <c r="P36" s="86"/>
      <c r="Q36" s="93" t="s">
        <v>68</v>
      </c>
      <c r="R36" s="87"/>
      <c r="S36" s="87"/>
      <c r="T36" s="93" t="s">
        <v>68</v>
      </c>
      <c r="U36" s="87"/>
      <c r="V36" s="87"/>
      <c r="W36" s="93" t="s">
        <v>86</v>
      </c>
      <c r="X36" s="87"/>
      <c r="Y36" s="87"/>
      <c r="Z36" s="93" t="s">
        <v>68</v>
      </c>
      <c r="AA36" s="87"/>
      <c r="AB36" s="87"/>
      <c r="AC36" s="8"/>
    </row>
    <row r="37" spans="1:29" ht="31" x14ac:dyDescent="0.35">
      <c r="A37" s="83" t="s">
        <v>37</v>
      </c>
      <c r="B37" s="83" t="s">
        <v>38</v>
      </c>
      <c r="C37" s="84" t="s">
        <v>95</v>
      </c>
      <c r="D37" s="92" t="s">
        <v>99</v>
      </c>
      <c r="E37" s="84"/>
      <c r="F37" s="84"/>
      <c r="G37" s="84"/>
      <c r="H37" s="95" t="s">
        <v>96</v>
      </c>
      <c r="I37" s="96" t="s">
        <v>42</v>
      </c>
      <c r="J37" s="83" t="s">
        <v>74</v>
      </c>
      <c r="K37" s="83" t="s">
        <v>75</v>
      </c>
      <c r="L37" s="88" t="s">
        <v>66</v>
      </c>
      <c r="M37" s="72" t="s">
        <v>67</v>
      </c>
      <c r="N37" s="86">
        <v>0</v>
      </c>
      <c r="O37" s="86">
        <v>0</v>
      </c>
      <c r="P37" s="86"/>
      <c r="Q37" s="93" t="s">
        <v>100</v>
      </c>
      <c r="R37" s="93" t="s">
        <v>100</v>
      </c>
      <c r="S37" s="93" t="s">
        <v>100</v>
      </c>
      <c r="T37" s="93" t="s">
        <v>100</v>
      </c>
      <c r="U37" s="93" t="s">
        <v>86</v>
      </c>
      <c r="V37" s="93" t="s">
        <v>100</v>
      </c>
      <c r="W37" s="93" t="s">
        <v>100</v>
      </c>
      <c r="X37" s="93" t="s">
        <v>100</v>
      </c>
      <c r="Y37" s="93" t="s">
        <v>100</v>
      </c>
      <c r="Z37" s="93" t="s">
        <v>100</v>
      </c>
      <c r="AA37" s="93" t="s">
        <v>100</v>
      </c>
      <c r="AB37" s="93" t="s">
        <v>100</v>
      </c>
      <c r="AC37" s="8"/>
    </row>
    <row r="38" spans="1:29" ht="31" x14ac:dyDescent="0.35">
      <c r="A38" s="95" t="s">
        <v>37</v>
      </c>
      <c r="B38" s="95" t="s">
        <v>38</v>
      </c>
      <c r="C38" s="96" t="s">
        <v>101</v>
      </c>
      <c r="D38" s="92" t="s">
        <v>99</v>
      </c>
      <c r="E38" s="84"/>
      <c r="F38" s="84"/>
      <c r="G38" s="84"/>
      <c r="H38" s="95" t="s">
        <v>102</v>
      </c>
      <c r="I38" s="96" t="s">
        <v>42</v>
      </c>
      <c r="J38" s="88" t="s">
        <v>74</v>
      </c>
      <c r="K38" s="88" t="s">
        <v>75</v>
      </c>
      <c r="L38" s="88" t="s">
        <v>66</v>
      </c>
      <c r="M38" s="72" t="s">
        <v>67</v>
      </c>
      <c r="N38" s="86">
        <v>0</v>
      </c>
      <c r="O38" s="86">
        <v>0</v>
      </c>
      <c r="P38" s="86"/>
      <c r="Q38" s="93" t="s">
        <v>100</v>
      </c>
      <c r="R38" s="93" t="s">
        <v>100</v>
      </c>
      <c r="S38" s="93" t="s">
        <v>100</v>
      </c>
      <c r="T38" s="93" t="s">
        <v>100</v>
      </c>
      <c r="U38" s="93" t="s">
        <v>100</v>
      </c>
      <c r="V38" s="93" t="s">
        <v>100</v>
      </c>
      <c r="W38" s="93" t="s">
        <v>100</v>
      </c>
      <c r="X38" s="93" t="s">
        <v>100</v>
      </c>
      <c r="Y38" s="93" t="s">
        <v>100</v>
      </c>
      <c r="Z38" s="93" t="s">
        <v>100</v>
      </c>
      <c r="AA38" s="93" t="s">
        <v>100</v>
      </c>
      <c r="AB38" s="93" t="s">
        <v>100</v>
      </c>
      <c r="AC38" s="8"/>
    </row>
    <row r="39" spans="1:29" ht="31" x14ac:dyDescent="0.35">
      <c r="A39" s="95" t="s">
        <v>37</v>
      </c>
      <c r="B39" s="95" t="s">
        <v>38</v>
      </c>
      <c r="C39" s="96" t="s">
        <v>101</v>
      </c>
      <c r="D39" s="84"/>
      <c r="E39" s="98" t="s">
        <v>72</v>
      </c>
      <c r="F39" s="84"/>
      <c r="G39" s="84"/>
      <c r="H39" s="95" t="s">
        <v>102</v>
      </c>
      <c r="I39" s="96" t="s">
        <v>42</v>
      </c>
      <c r="J39" s="83" t="s">
        <v>43</v>
      </c>
      <c r="K39" s="83" t="s">
        <v>43</v>
      </c>
      <c r="L39" s="83"/>
      <c r="M39" s="83" t="s">
        <v>44</v>
      </c>
      <c r="N39" s="94">
        <v>93.06</v>
      </c>
      <c r="O39" s="94">
        <v>480</v>
      </c>
      <c r="P39" s="94"/>
      <c r="Q39" s="87"/>
      <c r="R39" s="87"/>
      <c r="S39" s="87"/>
      <c r="T39" s="87"/>
      <c r="U39" s="93" t="s">
        <v>86</v>
      </c>
      <c r="V39" s="87"/>
      <c r="W39" s="87"/>
      <c r="X39" s="87"/>
      <c r="Y39" s="87"/>
      <c r="Z39" s="87"/>
      <c r="AA39" s="87"/>
      <c r="AB39" s="87"/>
      <c r="AC39" s="8"/>
    </row>
    <row r="40" spans="1:29" ht="31" x14ac:dyDescent="0.35">
      <c r="A40" s="95" t="s">
        <v>37</v>
      </c>
      <c r="B40" s="95" t="s">
        <v>38</v>
      </c>
      <c r="C40" s="96" t="s">
        <v>103</v>
      </c>
      <c r="D40" s="84"/>
      <c r="E40" s="98" t="s">
        <v>72</v>
      </c>
      <c r="F40" s="84"/>
      <c r="G40" s="98" t="s">
        <v>72</v>
      </c>
      <c r="H40" s="95" t="s">
        <v>104</v>
      </c>
      <c r="I40" s="96" t="s">
        <v>42</v>
      </c>
      <c r="J40" s="83" t="s">
        <v>105</v>
      </c>
      <c r="K40" s="83" t="s">
        <v>43</v>
      </c>
      <c r="L40" s="83"/>
      <c r="M40" s="95"/>
      <c r="N40" s="94">
        <v>613</v>
      </c>
      <c r="O40" s="94">
        <v>420</v>
      </c>
      <c r="P40" s="94"/>
      <c r="Q40" s="87"/>
      <c r="R40" s="87"/>
      <c r="S40" s="87"/>
      <c r="T40" s="87"/>
      <c r="U40" s="93" t="s">
        <v>86</v>
      </c>
      <c r="V40" s="87"/>
      <c r="W40" s="87"/>
      <c r="X40" s="87"/>
      <c r="Y40" s="87"/>
      <c r="Z40" s="87"/>
      <c r="AA40" s="87"/>
      <c r="AB40" s="87"/>
      <c r="AC40" s="8"/>
    </row>
    <row r="41" spans="1:29" ht="31" x14ac:dyDescent="0.35">
      <c r="A41" s="95" t="s">
        <v>37</v>
      </c>
      <c r="B41" s="95" t="s">
        <v>38</v>
      </c>
      <c r="C41" s="96" t="s">
        <v>106</v>
      </c>
      <c r="D41" s="84"/>
      <c r="E41" s="98" t="s">
        <v>99</v>
      </c>
      <c r="F41" s="84"/>
      <c r="G41" s="98" t="s">
        <v>99</v>
      </c>
      <c r="H41" s="95" t="s">
        <v>107</v>
      </c>
      <c r="I41" s="96" t="s">
        <v>42</v>
      </c>
      <c r="J41" s="88" t="s">
        <v>74</v>
      </c>
      <c r="K41" s="88" t="s">
        <v>75</v>
      </c>
      <c r="L41" s="88" t="s">
        <v>66</v>
      </c>
      <c r="M41" s="72" t="s">
        <v>67</v>
      </c>
      <c r="N41" s="86">
        <v>0</v>
      </c>
      <c r="O41" s="86">
        <v>0</v>
      </c>
      <c r="P41" s="86"/>
      <c r="Q41" s="93" t="s">
        <v>100</v>
      </c>
      <c r="R41" s="93" t="s">
        <v>100</v>
      </c>
      <c r="S41" s="93" t="s">
        <v>100</v>
      </c>
      <c r="T41" s="93" t="s">
        <v>100</v>
      </c>
      <c r="U41" s="93" t="s">
        <v>100</v>
      </c>
      <c r="V41" s="93" t="s">
        <v>100</v>
      </c>
      <c r="W41" s="93" t="s">
        <v>100</v>
      </c>
      <c r="X41" s="93" t="s">
        <v>100</v>
      </c>
      <c r="Y41" s="93" t="s">
        <v>100</v>
      </c>
      <c r="Z41" s="93" t="s">
        <v>100</v>
      </c>
      <c r="AA41" s="93" t="s">
        <v>100</v>
      </c>
      <c r="AB41" s="93" t="s">
        <v>100</v>
      </c>
      <c r="AC41" s="8"/>
    </row>
    <row r="42" spans="1:29" ht="31" x14ac:dyDescent="0.35">
      <c r="A42" s="95" t="s">
        <v>37</v>
      </c>
      <c r="B42" s="95" t="s">
        <v>38</v>
      </c>
      <c r="C42" s="96" t="s">
        <v>106</v>
      </c>
      <c r="D42" s="84"/>
      <c r="E42" s="98" t="s">
        <v>72</v>
      </c>
      <c r="F42" s="84"/>
      <c r="G42" s="98" t="s">
        <v>72</v>
      </c>
      <c r="H42" s="95" t="s">
        <v>107</v>
      </c>
      <c r="I42" s="96" t="s">
        <v>42</v>
      </c>
      <c r="J42" s="83" t="s">
        <v>43</v>
      </c>
      <c r="K42" s="83" t="s">
        <v>43</v>
      </c>
      <c r="L42" s="83"/>
      <c r="M42" s="83" t="s">
        <v>44</v>
      </c>
      <c r="N42" s="94">
        <v>93.06</v>
      </c>
      <c r="O42" s="94">
        <v>1400</v>
      </c>
      <c r="P42" s="94"/>
      <c r="Q42" s="87"/>
      <c r="R42" s="184" t="s">
        <v>45</v>
      </c>
      <c r="S42" s="87"/>
      <c r="T42" s="99"/>
      <c r="U42" s="99"/>
      <c r="V42" s="99"/>
      <c r="W42" s="87"/>
      <c r="X42" s="184" t="s">
        <v>45</v>
      </c>
      <c r="Y42" s="87"/>
      <c r="Z42" s="99"/>
      <c r="AA42" s="99"/>
      <c r="AB42" s="99"/>
      <c r="AC42" s="8"/>
    </row>
    <row r="43" spans="1:29" ht="31" x14ac:dyDescent="0.35">
      <c r="A43" s="95" t="s">
        <v>37</v>
      </c>
      <c r="B43" s="95" t="s">
        <v>38</v>
      </c>
      <c r="C43" s="96" t="s">
        <v>108</v>
      </c>
      <c r="D43" s="84"/>
      <c r="E43" s="98" t="s">
        <v>72</v>
      </c>
      <c r="F43" s="84"/>
      <c r="G43" s="98" t="s">
        <v>72</v>
      </c>
      <c r="H43" s="95" t="s">
        <v>109</v>
      </c>
      <c r="I43" s="96" t="s">
        <v>42</v>
      </c>
      <c r="J43" s="83" t="s">
        <v>105</v>
      </c>
      <c r="K43" s="83" t="s">
        <v>43</v>
      </c>
      <c r="L43" s="83"/>
      <c r="M43" s="83" t="s">
        <v>44</v>
      </c>
      <c r="N43" s="86">
        <v>248</v>
      </c>
      <c r="O43" s="86" t="s">
        <v>110</v>
      </c>
      <c r="P43" s="86"/>
      <c r="Q43" s="87"/>
      <c r="R43" s="87"/>
      <c r="S43" s="93" t="s">
        <v>86</v>
      </c>
      <c r="T43" s="87"/>
      <c r="U43" s="87"/>
      <c r="V43" s="87"/>
      <c r="W43" s="87"/>
      <c r="X43" s="87"/>
      <c r="Y43" s="87"/>
      <c r="Z43" s="87"/>
      <c r="AA43" s="87"/>
      <c r="AB43" s="87"/>
      <c r="AC43" s="8"/>
    </row>
    <row r="44" spans="1:29" ht="31" x14ac:dyDescent="0.35">
      <c r="A44" s="95" t="s">
        <v>37</v>
      </c>
      <c r="B44" s="95" t="s">
        <v>38</v>
      </c>
      <c r="C44" s="96" t="s">
        <v>111</v>
      </c>
      <c r="D44" s="84"/>
      <c r="E44" s="98" t="s">
        <v>72</v>
      </c>
      <c r="F44" s="84"/>
      <c r="G44" s="84"/>
      <c r="H44" s="95" t="s">
        <v>112</v>
      </c>
      <c r="I44" s="96" t="s">
        <v>42</v>
      </c>
      <c r="J44" s="83" t="s">
        <v>94</v>
      </c>
      <c r="K44" s="83" t="s">
        <v>75</v>
      </c>
      <c r="L44" s="83" t="s">
        <v>66</v>
      </c>
      <c r="M44" s="72" t="s">
        <v>67</v>
      </c>
      <c r="N44" s="86">
        <v>1450</v>
      </c>
      <c r="O44" s="86">
        <v>0</v>
      </c>
      <c r="P44" s="86"/>
      <c r="Q44" s="87"/>
      <c r="R44" s="87"/>
      <c r="S44" s="87"/>
      <c r="T44" s="87"/>
      <c r="U44" s="78" t="s">
        <v>72</v>
      </c>
      <c r="V44" s="87"/>
      <c r="W44" s="87"/>
      <c r="X44" s="87"/>
      <c r="Y44" s="87"/>
      <c r="Z44" s="87"/>
      <c r="AA44" s="87"/>
      <c r="AB44" s="87"/>
      <c r="AC44" s="8"/>
    </row>
    <row r="45" spans="1:29" ht="31" x14ac:dyDescent="0.35">
      <c r="A45" s="95" t="s">
        <v>37</v>
      </c>
      <c r="B45" s="95" t="s">
        <v>38</v>
      </c>
      <c r="C45" s="96" t="s">
        <v>113</v>
      </c>
      <c r="D45" s="92" t="s">
        <v>114</v>
      </c>
      <c r="E45" s="84"/>
      <c r="F45" s="84"/>
      <c r="G45" s="84"/>
      <c r="H45" s="83" t="s">
        <v>115</v>
      </c>
      <c r="I45" s="96" t="s">
        <v>42</v>
      </c>
      <c r="J45" s="83" t="s">
        <v>105</v>
      </c>
      <c r="K45" s="83" t="s">
        <v>43</v>
      </c>
      <c r="L45" s="83"/>
      <c r="M45" s="83" t="s">
        <v>44</v>
      </c>
      <c r="N45" s="86">
        <v>480</v>
      </c>
      <c r="O45" s="86">
        <v>634</v>
      </c>
      <c r="P45" s="86"/>
      <c r="Q45" s="87"/>
      <c r="R45" s="87"/>
      <c r="S45" s="93" t="s">
        <v>45</v>
      </c>
      <c r="T45" s="87"/>
      <c r="U45" s="87"/>
      <c r="V45" s="87"/>
      <c r="W45" s="87"/>
      <c r="X45" s="87"/>
      <c r="Y45" s="93" t="s">
        <v>116</v>
      </c>
      <c r="Z45" s="87"/>
      <c r="AA45" s="87"/>
      <c r="AB45" s="87"/>
      <c r="AC45" s="8"/>
    </row>
    <row r="46" spans="1:29" ht="31" x14ac:dyDescent="0.35">
      <c r="A46" s="71" t="s">
        <v>37</v>
      </c>
      <c r="B46" s="83" t="s">
        <v>38</v>
      </c>
      <c r="C46" s="84" t="s">
        <v>87</v>
      </c>
      <c r="D46" s="89" t="s">
        <v>40</v>
      </c>
      <c r="E46" s="85" t="s">
        <v>72</v>
      </c>
      <c r="F46" s="84"/>
      <c r="G46" s="85" t="s">
        <v>72</v>
      </c>
      <c r="H46" s="83" t="s">
        <v>117</v>
      </c>
      <c r="I46" s="84" t="s">
        <v>42</v>
      </c>
      <c r="J46" s="83" t="s">
        <v>118</v>
      </c>
      <c r="K46" s="83" t="s">
        <v>75</v>
      </c>
      <c r="L46" s="83"/>
      <c r="M46" s="83" t="s">
        <v>119</v>
      </c>
      <c r="N46" s="86" t="s">
        <v>120</v>
      </c>
      <c r="O46" s="86" t="s">
        <v>120</v>
      </c>
      <c r="P46" s="86"/>
      <c r="Q46" s="87"/>
      <c r="R46" s="93" t="s">
        <v>86</v>
      </c>
      <c r="S46" s="87"/>
      <c r="T46" s="87"/>
      <c r="U46" s="87"/>
      <c r="V46" s="87"/>
      <c r="W46" s="87"/>
      <c r="X46" s="93" t="s">
        <v>45</v>
      </c>
      <c r="Y46" s="87"/>
      <c r="Z46" s="87"/>
      <c r="AA46" s="87"/>
      <c r="AB46" s="87"/>
      <c r="AC46" s="8"/>
    </row>
    <row r="47" spans="1:29" ht="31" x14ac:dyDescent="0.35">
      <c r="A47" s="95" t="s">
        <v>37</v>
      </c>
      <c r="B47" s="95" t="s">
        <v>38</v>
      </c>
      <c r="C47" s="96" t="s">
        <v>87</v>
      </c>
      <c r="D47" s="92" t="s">
        <v>40</v>
      </c>
      <c r="E47" s="98" t="s">
        <v>72</v>
      </c>
      <c r="F47" s="84"/>
      <c r="G47" s="98" t="s">
        <v>72</v>
      </c>
      <c r="H47" s="83" t="s">
        <v>89</v>
      </c>
      <c r="I47" s="84" t="s">
        <v>42</v>
      </c>
      <c r="J47" s="83" t="s">
        <v>118</v>
      </c>
      <c r="K47" s="83" t="s">
        <v>75</v>
      </c>
      <c r="L47" s="83"/>
      <c r="M47" s="83" t="s">
        <v>119</v>
      </c>
      <c r="N47" s="86" t="s">
        <v>120</v>
      </c>
      <c r="O47" s="86" t="s">
        <v>120</v>
      </c>
      <c r="P47" s="86"/>
      <c r="Q47" s="87"/>
      <c r="R47" s="93" t="s">
        <v>86</v>
      </c>
      <c r="S47" s="87"/>
      <c r="T47" s="87"/>
      <c r="U47" s="87"/>
      <c r="V47" s="87"/>
      <c r="W47" s="87"/>
      <c r="X47" s="93" t="s">
        <v>45</v>
      </c>
      <c r="Y47" s="87"/>
      <c r="Z47" s="87"/>
      <c r="AA47" s="87"/>
      <c r="AB47" s="87"/>
      <c r="AC47" s="8"/>
    </row>
    <row r="48" spans="1:29" ht="31" x14ac:dyDescent="0.35">
      <c r="A48" s="83" t="s">
        <v>37</v>
      </c>
      <c r="B48" s="83" t="s">
        <v>38</v>
      </c>
      <c r="C48" s="84" t="s">
        <v>121</v>
      </c>
      <c r="D48" s="84"/>
      <c r="E48" s="98" t="s">
        <v>72</v>
      </c>
      <c r="F48" s="84"/>
      <c r="G48" s="84"/>
      <c r="H48" s="83" t="s">
        <v>122</v>
      </c>
      <c r="I48" s="84" t="s">
        <v>42</v>
      </c>
      <c r="J48" s="83" t="s">
        <v>105</v>
      </c>
      <c r="K48" s="83" t="s">
        <v>43</v>
      </c>
      <c r="L48" s="83"/>
      <c r="M48" s="83" t="s">
        <v>44</v>
      </c>
      <c r="N48" s="100" t="s">
        <v>83</v>
      </c>
      <c r="O48" s="86" t="s">
        <v>110</v>
      </c>
      <c r="P48" s="86"/>
      <c r="Q48" s="141"/>
      <c r="R48" s="141"/>
      <c r="S48" s="142" t="s">
        <v>72</v>
      </c>
      <c r="T48" s="141"/>
      <c r="U48" s="141"/>
      <c r="V48" s="141"/>
      <c r="W48" s="141"/>
      <c r="X48" s="141"/>
      <c r="Y48" s="141"/>
      <c r="Z48" s="141"/>
      <c r="AA48" s="141"/>
      <c r="AB48" s="141"/>
      <c r="AC48" s="8"/>
    </row>
    <row r="49" spans="1:29" ht="31" x14ac:dyDescent="0.35">
      <c r="A49" s="83" t="s">
        <v>37</v>
      </c>
      <c r="B49" s="83" t="s">
        <v>38</v>
      </c>
      <c r="C49" s="84" t="s">
        <v>123</v>
      </c>
      <c r="D49" s="92" t="s">
        <v>114</v>
      </c>
      <c r="E49" s="84"/>
      <c r="F49" s="84"/>
      <c r="G49" s="84"/>
      <c r="H49" s="83" t="s">
        <v>124</v>
      </c>
      <c r="I49" s="84" t="s">
        <v>42</v>
      </c>
      <c r="J49" s="83" t="s">
        <v>92</v>
      </c>
      <c r="K49" s="83" t="s">
        <v>75</v>
      </c>
      <c r="L49" s="83"/>
      <c r="M49" s="83"/>
      <c r="N49" s="86" t="s">
        <v>125</v>
      </c>
      <c r="O49" s="86">
        <v>200</v>
      </c>
      <c r="P49" s="218"/>
      <c r="Q49" s="216" t="s">
        <v>45</v>
      </c>
      <c r="R49" s="145"/>
      <c r="S49" s="145"/>
      <c r="T49" s="145"/>
      <c r="U49" s="145"/>
      <c r="V49" s="145"/>
      <c r="W49" s="216" t="s">
        <v>45</v>
      </c>
      <c r="X49" s="145"/>
      <c r="Y49" s="145"/>
      <c r="Z49" s="145"/>
      <c r="AA49" s="145"/>
      <c r="AB49" s="145"/>
      <c r="AC49" s="51"/>
    </row>
    <row r="50" spans="1:29" ht="46.5" x14ac:dyDescent="0.35">
      <c r="A50" s="83" t="s">
        <v>37</v>
      </c>
      <c r="B50" s="83" t="s">
        <v>38</v>
      </c>
      <c r="C50" s="83" t="s">
        <v>124</v>
      </c>
      <c r="D50" s="84" t="s">
        <v>42</v>
      </c>
      <c r="E50" s="83" t="s">
        <v>92</v>
      </c>
      <c r="F50" s="83" t="s">
        <v>75</v>
      </c>
      <c r="G50" s="84"/>
      <c r="H50" s="83" t="s">
        <v>124</v>
      </c>
      <c r="I50" s="84" t="s">
        <v>42</v>
      </c>
      <c r="J50" s="83" t="s">
        <v>74</v>
      </c>
      <c r="K50" s="83" t="s">
        <v>75</v>
      </c>
      <c r="L50" s="83"/>
      <c r="M50" s="118"/>
      <c r="N50" s="86"/>
      <c r="O50" s="86"/>
      <c r="P50" s="120"/>
      <c r="Q50" s="223" t="s">
        <v>100</v>
      </c>
      <c r="R50" s="223" t="s">
        <v>100</v>
      </c>
      <c r="S50" s="223" t="s">
        <v>100</v>
      </c>
      <c r="T50" s="223" t="s">
        <v>100</v>
      </c>
      <c r="U50" s="223" t="s">
        <v>100</v>
      </c>
      <c r="V50" s="223" t="s">
        <v>100</v>
      </c>
      <c r="W50" s="223" t="s">
        <v>100</v>
      </c>
      <c r="X50" s="223" t="s">
        <v>100</v>
      </c>
      <c r="Y50" s="223" t="s">
        <v>100</v>
      </c>
      <c r="Z50" s="223" t="s">
        <v>100</v>
      </c>
      <c r="AA50" s="93" t="s">
        <v>100</v>
      </c>
      <c r="AB50" s="93" t="s">
        <v>100</v>
      </c>
      <c r="AC50" s="190"/>
    </row>
    <row r="51" spans="1:29" ht="31" x14ac:dyDescent="0.35">
      <c r="A51" s="83" t="s">
        <v>37</v>
      </c>
      <c r="B51" s="83" t="s">
        <v>38</v>
      </c>
      <c r="C51" s="84" t="s">
        <v>123</v>
      </c>
      <c r="D51" s="161"/>
      <c r="E51" s="84"/>
      <c r="F51" s="84"/>
      <c r="G51" s="84"/>
      <c r="H51" s="83" t="s">
        <v>126</v>
      </c>
      <c r="I51" s="84" t="s">
        <v>42</v>
      </c>
      <c r="J51" s="83" t="s">
        <v>74</v>
      </c>
      <c r="K51" s="83" t="s">
        <v>75</v>
      </c>
      <c r="L51" s="83"/>
      <c r="M51" s="118"/>
      <c r="N51" s="86"/>
      <c r="O51" s="86"/>
      <c r="P51" s="120"/>
      <c r="Q51" s="191" t="s">
        <v>100</v>
      </c>
      <c r="R51" s="191" t="s">
        <v>100</v>
      </c>
      <c r="S51" s="191" t="s">
        <v>100</v>
      </c>
      <c r="T51" s="191" t="s">
        <v>100</v>
      </c>
      <c r="U51" s="191" t="s">
        <v>100</v>
      </c>
      <c r="V51" s="191" t="s">
        <v>100</v>
      </c>
      <c r="W51" s="191" t="s">
        <v>100</v>
      </c>
      <c r="X51" s="191" t="s">
        <v>100</v>
      </c>
      <c r="Y51" s="191" t="s">
        <v>100</v>
      </c>
      <c r="Z51" s="191" t="s">
        <v>100</v>
      </c>
      <c r="AA51" s="93" t="s">
        <v>100</v>
      </c>
      <c r="AB51" s="93" t="s">
        <v>100</v>
      </c>
      <c r="AC51" s="190"/>
    </row>
    <row r="52" spans="1:29" ht="77.5" x14ac:dyDescent="0.35">
      <c r="A52" s="83" t="s">
        <v>37</v>
      </c>
      <c r="B52" s="83" t="s">
        <v>38</v>
      </c>
      <c r="C52" s="84" t="s">
        <v>127</v>
      </c>
      <c r="D52" s="101" t="s">
        <v>40</v>
      </c>
      <c r="E52" s="84"/>
      <c r="F52" s="84"/>
      <c r="G52" s="84"/>
      <c r="H52" s="83" t="s">
        <v>128</v>
      </c>
      <c r="I52" s="84" t="s">
        <v>129</v>
      </c>
      <c r="J52" s="83" t="s">
        <v>130</v>
      </c>
      <c r="K52" s="83" t="s">
        <v>75</v>
      </c>
      <c r="L52" s="83"/>
      <c r="M52" s="102" t="s">
        <v>131</v>
      </c>
      <c r="N52" s="103" t="s">
        <v>132</v>
      </c>
      <c r="O52" s="103" t="s">
        <v>132</v>
      </c>
      <c r="P52" s="104"/>
      <c r="Q52" s="141"/>
      <c r="R52" s="191" t="s">
        <v>45</v>
      </c>
      <c r="S52" s="141"/>
      <c r="T52" s="141"/>
      <c r="U52" s="141"/>
      <c r="V52" s="141"/>
      <c r="W52" s="141"/>
      <c r="X52" s="191" t="s">
        <v>45</v>
      </c>
      <c r="Y52" s="141"/>
      <c r="Z52" s="141"/>
      <c r="AA52" s="141"/>
      <c r="AB52" s="141"/>
      <c r="AC52" s="10"/>
    </row>
    <row r="53" spans="1:29" ht="31" x14ac:dyDescent="0.35">
      <c r="A53" s="83" t="s">
        <v>37</v>
      </c>
      <c r="B53" s="83" t="s">
        <v>38</v>
      </c>
      <c r="C53" s="105"/>
      <c r="D53" s="106"/>
      <c r="E53" s="105"/>
      <c r="F53" s="105"/>
      <c r="G53" s="105"/>
      <c r="H53" s="107" t="s">
        <v>133</v>
      </c>
      <c r="I53" s="84" t="s">
        <v>42</v>
      </c>
      <c r="J53" s="83" t="s">
        <v>92</v>
      </c>
      <c r="K53" s="83" t="s">
        <v>75</v>
      </c>
      <c r="L53" s="83" t="s">
        <v>66</v>
      </c>
      <c r="M53" s="108"/>
      <c r="N53" s="109">
        <v>450</v>
      </c>
      <c r="O53" s="109">
        <v>470</v>
      </c>
      <c r="P53" s="219"/>
      <c r="Q53" s="145"/>
      <c r="R53" s="216" t="s">
        <v>45</v>
      </c>
      <c r="S53" s="145"/>
      <c r="T53" s="145"/>
      <c r="U53" s="145"/>
      <c r="V53" s="145"/>
      <c r="W53" s="145"/>
      <c r="X53" s="216" t="s">
        <v>45</v>
      </c>
      <c r="Y53" s="145"/>
      <c r="Z53" s="145"/>
      <c r="AA53" s="145"/>
      <c r="AB53" s="145"/>
      <c r="AC53" s="221"/>
    </row>
    <row r="54" spans="1:29" ht="31" x14ac:dyDescent="0.35">
      <c r="A54" s="71" t="s">
        <v>134</v>
      </c>
      <c r="B54" s="83" t="s">
        <v>135</v>
      </c>
      <c r="C54" s="84" t="s">
        <v>136</v>
      </c>
      <c r="D54" s="89" t="s">
        <v>114</v>
      </c>
      <c r="E54" s="84"/>
      <c r="F54" s="84"/>
      <c r="G54" s="84"/>
      <c r="H54" s="83" t="s">
        <v>137</v>
      </c>
      <c r="I54" s="84" t="s">
        <v>138</v>
      </c>
      <c r="J54" s="83" t="s">
        <v>94</v>
      </c>
      <c r="K54" s="83" t="s">
        <v>75</v>
      </c>
      <c r="L54" s="83" t="s">
        <v>66</v>
      </c>
      <c r="M54" s="72" t="s">
        <v>67</v>
      </c>
      <c r="N54" s="76">
        <v>1450</v>
      </c>
      <c r="O54" s="86">
        <v>0</v>
      </c>
      <c r="P54" s="86"/>
      <c r="Q54" s="87"/>
      <c r="R54" s="87"/>
      <c r="S54" s="87"/>
      <c r="T54" s="87"/>
      <c r="U54" s="93" t="s">
        <v>86</v>
      </c>
      <c r="V54" s="87"/>
      <c r="W54" s="87"/>
      <c r="X54" s="87"/>
      <c r="Y54" s="87"/>
      <c r="Z54" s="87"/>
      <c r="AA54" s="87"/>
      <c r="AB54" s="87"/>
      <c r="AC54" s="8"/>
    </row>
    <row r="55" spans="1:29" s="2" customFormat="1" ht="31" x14ac:dyDescent="0.35">
      <c r="A55" s="79" t="s">
        <v>134</v>
      </c>
      <c r="B55" s="80" t="s">
        <v>135</v>
      </c>
      <c r="C55" s="80" t="s">
        <v>136</v>
      </c>
      <c r="D55" s="80"/>
      <c r="E55" s="80"/>
      <c r="F55" s="80"/>
      <c r="G55" s="80"/>
      <c r="H55" s="80" t="s">
        <v>139</v>
      </c>
      <c r="I55" s="80"/>
      <c r="J55" s="80"/>
      <c r="K55" s="80"/>
      <c r="L55" s="80"/>
      <c r="M55" s="80"/>
      <c r="N55" s="80"/>
      <c r="O55" s="81"/>
      <c r="P55" s="81"/>
      <c r="Q55" s="82"/>
      <c r="R55" s="82"/>
      <c r="S55" s="82"/>
      <c r="T55" s="82"/>
      <c r="U55" s="82"/>
      <c r="V55" s="82"/>
      <c r="W55" s="82"/>
      <c r="X55" s="82"/>
      <c r="Y55" s="82"/>
      <c r="Z55" s="82"/>
      <c r="AA55" s="82"/>
      <c r="AB55" s="82"/>
      <c r="AC55" s="3"/>
    </row>
    <row r="56" spans="1:29" s="2" customFormat="1" ht="31" x14ac:dyDescent="0.35">
      <c r="A56" s="79" t="s">
        <v>134</v>
      </c>
      <c r="B56" s="80" t="s">
        <v>135</v>
      </c>
      <c r="C56" s="80" t="s">
        <v>136</v>
      </c>
      <c r="D56" s="80"/>
      <c r="E56" s="80"/>
      <c r="F56" s="80"/>
      <c r="G56" s="80"/>
      <c r="H56" s="80" t="s">
        <v>140</v>
      </c>
      <c r="I56" s="80"/>
      <c r="J56" s="80"/>
      <c r="K56" s="80"/>
      <c r="L56" s="80"/>
      <c r="M56" s="80"/>
      <c r="N56" s="80"/>
      <c r="O56" s="81"/>
      <c r="P56" s="81"/>
      <c r="Q56" s="82"/>
      <c r="R56" s="82"/>
      <c r="S56" s="82"/>
      <c r="T56" s="82"/>
      <c r="U56" s="82"/>
      <c r="V56" s="82"/>
      <c r="W56" s="82"/>
      <c r="X56" s="82"/>
      <c r="Y56" s="82"/>
      <c r="Z56" s="82"/>
      <c r="AA56" s="82"/>
      <c r="AB56" s="82"/>
      <c r="AC56" s="3"/>
    </row>
    <row r="57" spans="1:29" s="2" customFormat="1" ht="31" x14ac:dyDescent="0.35">
      <c r="A57" s="79" t="s">
        <v>134</v>
      </c>
      <c r="B57" s="80" t="s">
        <v>135</v>
      </c>
      <c r="C57" s="80" t="s">
        <v>136</v>
      </c>
      <c r="D57" s="80"/>
      <c r="E57" s="80"/>
      <c r="F57" s="80"/>
      <c r="G57" s="80"/>
      <c r="H57" s="80" t="s">
        <v>141</v>
      </c>
      <c r="I57" s="80"/>
      <c r="J57" s="80"/>
      <c r="K57" s="80"/>
      <c r="L57" s="80"/>
      <c r="M57" s="80"/>
      <c r="N57" s="80"/>
      <c r="O57" s="81"/>
      <c r="P57" s="81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3"/>
    </row>
    <row r="58" spans="1:29" ht="31" x14ac:dyDescent="0.35">
      <c r="A58" s="71" t="s">
        <v>134</v>
      </c>
      <c r="B58" s="83" t="s">
        <v>135</v>
      </c>
      <c r="C58" s="84" t="s">
        <v>142</v>
      </c>
      <c r="D58" s="84"/>
      <c r="E58" s="85" t="s">
        <v>72</v>
      </c>
      <c r="F58" s="84"/>
      <c r="G58" s="85" t="s">
        <v>72</v>
      </c>
      <c r="H58" s="83" t="s">
        <v>143</v>
      </c>
      <c r="I58" s="84" t="s">
        <v>138</v>
      </c>
      <c r="J58" s="83" t="s">
        <v>105</v>
      </c>
      <c r="K58" s="83" t="s">
        <v>43</v>
      </c>
      <c r="L58" s="83"/>
      <c r="M58" s="83" t="s">
        <v>44</v>
      </c>
      <c r="N58" s="86">
        <v>380</v>
      </c>
      <c r="O58" s="86">
        <v>585</v>
      </c>
      <c r="P58" s="86"/>
      <c r="Q58" s="87"/>
      <c r="R58" s="87"/>
      <c r="S58" s="87"/>
      <c r="T58" s="87"/>
      <c r="U58" s="93" t="s">
        <v>86</v>
      </c>
      <c r="V58" s="87"/>
      <c r="W58" s="87"/>
      <c r="X58" s="87"/>
      <c r="Y58" s="87"/>
      <c r="Z58" s="87"/>
      <c r="AA58" s="87"/>
      <c r="AB58" s="87"/>
      <c r="AC58" s="8"/>
    </row>
    <row r="59" spans="1:29" s="2" customFormat="1" ht="31" x14ac:dyDescent="0.35">
      <c r="A59" s="79" t="s">
        <v>134</v>
      </c>
      <c r="B59" s="80" t="s">
        <v>135</v>
      </c>
      <c r="C59" s="80" t="s">
        <v>142</v>
      </c>
      <c r="D59" s="80"/>
      <c r="E59" s="80"/>
      <c r="F59" s="80"/>
      <c r="G59" s="80"/>
      <c r="H59" s="80" t="s">
        <v>144</v>
      </c>
      <c r="I59" s="80"/>
      <c r="J59" s="80"/>
      <c r="K59" s="80"/>
      <c r="L59" s="80"/>
      <c r="M59" s="80"/>
      <c r="N59" s="80"/>
      <c r="O59" s="81"/>
      <c r="P59" s="81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3"/>
    </row>
    <row r="60" spans="1:29" ht="31" x14ac:dyDescent="0.35">
      <c r="A60" s="71" t="s">
        <v>134</v>
      </c>
      <c r="B60" s="83" t="s">
        <v>135</v>
      </c>
      <c r="C60" s="84" t="s">
        <v>145</v>
      </c>
      <c r="D60" s="89" t="s">
        <v>40</v>
      </c>
      <c r="E60" s="84"/>
      <c r="F60" s="84"/>
      <c r="G60" s="84"/>
      <c r="H60" s="83" t="s">
        <v>146</v>
      </c>
      <c r="I60" s="84" t="s">
        <v>138</v>
      </c>
      <c r="J60" s="83" t="s">
        <v>43</v>
      </c>
      <c r="K60" s="83" t="s">
        <v>43</v>
      </c>
      <c r="L60" s="83"/>
      <c r="M60" s="83" t="s">
        <v>44</v>
      </c>
      <c r="N60" s="86">
        <v>186.12</v>
      </c>
      <c r="O60" s="86">
        <v>960</v>
      </c>
      <c r="P60" s="86"/>
      <c r="Q60" s="87"/>
      <c r="R60" s="226" t="s">
        <v>45</v>
      </c>
      <c r="S60" s="87"/>
      <c r="T60" s="87"/>
      <c r="U60" s="87"/>
      <c r="V60" s="87"/>
      <c r="W60" s="87"/>
      <c r="X60" s="226" t="s">
        <v>45</v>
      </c>
      <c r="Y60" s="87"/>
      <c r="Z60" s="87"/>
      <c r="AA60" s="87"/>
      <c r="AB60" s="87"/>
      <c r="AC60" s="8"/>
    </row>
    <row r="61" spans="1:29" s="2" customFormat="1" ht="31" x14ac:dyDescent="0.35">
      <c r="A61" s="79" t="s">
        <v>134</v>
      </c>
      <c r="B61" s="80" t="s">
        <v>135</v>
      </c>
      <c r="C61" s="80" t="s">
        <v>145</v>
      </c>
      <c r="D61" s="80"/>
      <c r="E61" s="80"/>
      <c r="F61" s="80"/>
      <c r="G61" s="80"/>
      <c r="H61" s="80" t="s">
        <v>147</v>
      </c>
      <c r="I61" s="80"/>
      <c r="J61" s="80"/>
      <c r="K61" s="80"/>
      <c r="L61" s="80"/>
      <c r="M61" s="80"/>
      <c r="N61" s="80"/>
      <c r="O61" s="81"/>
      <c r="P61" s="81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3"/>
    </row>
    <row r="62" spans="1:29" s="2" customFormat="1" ht="31" x14ac:dyDescent="0.35">
      <c r="A62" s="79" t="s">
        <v>134</v>
      </c>
      <c r="B62" s="80" t="s">
        <v>135</v>
      </c>
      <c r="C62" s="80" t="s">
        <v>145</v>
      </c>
      <c r="D62" s="80"/>
      <c r="E62" s="80"/>
      <c r="F62" s="80"/>
      <c r="G62" s="80"/>
      <c r="H62" s="80" t="s">
        <v>148</v>
      </c>
      <c r="I62" s="80"/>
      <c r="J62" s="80"/>
      <c r="K62" s="80"/>
      <c r="L62" s="80"/>
      <c r="M62" s="80"/>
      <c r="N62" s="80"/>
      <c r="O62" s="81"/>
      <c r="P62" s="81"/>
      <c r="Q62" s="82"/>
      <c r="R62" s="82"/>
      <c r="S62" s="82"/>
      <c r="T62" s="82"/>
      <c r="U62" s="82"/>
      <c r="V62" s="82"/>
      <c r="W62" s="82"/>
      <c r="X62" s="82"/>
      <c r="Y62" s="82"/>
      <c r="Z62" s="82"/>
      <c r="AA62" s="82"/>
      <c r="AB62" s="82"/>
      <c r="AC62" s="3"/>
    </row>
    <row r="63" spans="1:29" ht="31" x14ac:dyDescent="0.35">
      <c r="A63" s="71" t="s">
        <v>134</v>
      </c>
      <c r="B63" s="83" t="s">
        <v>135</v>
      </c>
      <c r="C63" s="84" t="s">
        <v>149</v>
      </c>
      <c r="D63" s="84"/>
      <c r="E63" s="85" t="s">
        <v>40</v>
      </c>
      <c r="F63" s="84"/>
      <c r="G63" s="85" t="s">
        <v>40</v>
      </c>
      <c r="H63" s="83" t="s">
        <v>41</v>
      </c>
      <c r="I63" s="84" t="s">
        <v>138</v>
      </c>
      <c r="J63" s="83" t="s">
        <v>43</v>
      </c>
      <c r="K63" s="83" t="s">
        <v>43</v>
      </c>
      <c r="L63" s="83"/>
      <c r="M63" s="83" t="s">
        <v>44</v>
      </c>
      <c r="N63" s="86">
        <v>930.6</v>
      </c>
      <c r="O63" s="86">
        <v>960</v>
      </c>
      <c r="P63" s="86"/>
      <c r="Q63" s="87"/>
      <c r="R63" s="93" t="s">
        <v>45</v>
      </c>
      <c r="S63" s="87"/>
      <c r="T63" s="87"/>
      <c r="U63" s="87"/>
      <c r="V63" s="87"/>
      <c r="W63" s="87"/>
      <c r="X63" s="93" t="s">
        <v>45</v>
      </c>
      <c r="Y63" s="87"/>
      <c r="Z63" s="87"/>
      <c r="AA63" s="87"/>
      <c r="AB63" s="87"/>
      <c r="AC63" s="8"/>
    </row>
    <row r="64" spans="1:29" s="2" customFormat="1" ht="31" x14ac:dyDescent="0.35">
      <c r="A64" s="79" t="s">
        <v>134</v>
      </c>
      <c r="B64" s="80" t="s">
        <v>135</v>
      </c>
      <c r="C64" s="80" t="s">
        <v>149</v>
      </c>
      <c r="D64" s="80"/>
      <c r="E64" s="80"/>
      <c r="F64" s="80"/>
      <c r="G64" s="80"/>
      <c r="H64" s="80" t="s">
        <v>150</v>
      </c>
      <c r="I64" s="80"/>
      <c r="J64" s="80"/>
      <c r="K64" s="80"/>
      <c r="L64" s="80"/>
      <c r="M64" s="80"/>
      <c r="N64" s="80"/>
      <c r="O64" s="81"/>
      <c r="P64" s="81"/>
      <c r="Q64" s="82"/>
      <c r="R64" s="82"/>
      <c r="S64" s="82"/>
      <c r="T64" s="82"/>
      <c r="U64" s="82"/>
      <c r="V64" s="82"/>
      <c r="W64" s="82"/>
      <c r="X64" s="82"/>
      <c r="Y64" s="82"/>
      <c r="Z64" s="82"/>
      <c r="AA64" s="82"/>
      <c r="AB64" s="82"/>
      <c r="AC64" s="3"/>
    </row>
    <row r="65" spans="1:29" s="2" customFormat="1" ht="31" x14ac:dyDescent="0.35">
      <c r="A65" s="79" t="s">
        <v>134</v>
      </c>
      <c r="B65" s="80" t="s">
        <v>135</v>
      </c>
      <c r="C65" s="80" t="s">
        <v>149</v>
      </c>
      <c r="D65" s="80"/>
      <c r="E65" s="80"/>
      <c r="F65" s="80"/>
      <c r="G65" s="80"/>
      <c r="H65" s="80" t="s">
        <v>151</v>
      </c>
      <c r="I65" s="80"/>
      <c r="J65" s="80"/>
      <c r="K65" s="80"/>
      <c r="L65" s="80"/>
      <c r="M65" s="80"/>
      <c r="N65" s="80"/>
      <c r="O65" s="81"/>
      <c r="P65" s="81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3"/>
    </row>
    <row r="66" spans="1:29" ht="31" x14ac:dyDescent="0.35">
      <c r="A66" s="71" t="s">
        <v>134</v>
      </c>
      <c r="B66" s="83" t="s">
        <v>135</v>
      </c>
      <c r="C66" s="84" t="s">
        <v>152</v>
      </c>
      <c r="D66" s="84"/>
      <c r="E66" s="85" t="s">
        <v>40</v>
      </c>
      <c r="F66" s="84"/>
      <c r="G66" s="85" t="s">
        <v>40</v>
      </c>
      <c r="H66" s="83" t="s">
        <v>50</v>
      </c>
      <c r="I66" s="84" t="s">
        <v>138</v>
      </c>
      <c r="J66" s="83" t="s">
        <v>43</v>
      </c>
      <c r="K66" s="83" t="s">
        <v>43</v>
      </c>
      <c r="L66" s="83"/>
      <c r="M66" s="83" t="s">
        <v>44</v>
      </c>
      <c r="N66" s="86">
        <v>558.36</v>
      </c>
      <c r="O66" s="86">
        <v>240</v>
      </c>
      <c r="P66" s="86"/>
      <c r="Q66" s="87"/>
      <c r="R66" s="93" t="s">
        <v>45</v>
      </c>
      <c r="S66" s="87"/>
      <c r="T66" s="87"/>
      <c r="U66" s="87"/>
      <c r="V66" s="87"/>
      <c r="W66" s="87"/>
      <c r="X66" s="78" t="s">
        <v>40</v>
      </c>
      <c r="Y66" s="87"/>
      <c r="Z66" s="87"/>
      <c r="AA66" s="87"/>
      <c r="AB66" s="87"/>
      <c r="AC66" s="8"/>
    </row>
    <row r="67" spans="1:29" s="2" customFormat="1" ht="31" x14ac:dyDescent="0.35">
      <c r="A67" s="79" t="s">
        <v>134</v>
      </c>
      <c r="B67" s="80" t="s">
        <v>135</v>
      </c>
      <c r="C67" s="80" t="s">
        <v>152</v>
      </c>
      <c r="D67" s="80"/>
      <c r="E67" s="80"/>
      <c r="F67" s="80"/>
      <c r="G67" s="80"/>
      <c r="H67" s="80" t="s">
        <v>153</v>
      </c>
      <c r="I67" s="80"/>
      <c r="J67" s="80"/>
      <c r="K67" s="80"/>
      <c r="L67" s="80"/>
      <c r="M67" s="80"/>
      <c r="N67" s="80"/>
      <c r="O67" s="81"/>
      <c r="P67" s="81"/>
      <c r="Q67" s="82"/>
      <c r="R67" s="82"/>
      <c r="S67" s="82"/>
      <c r="T67" s="82"/>
      <c r="U67" s="82"/>
      <c r="V67" s="82"/>
      <c r="W67" s="82"/>
      <c r="X67" s="82"/>
      <c r="Y67" s="82"/>
      <c r="Z67" s="82"/>
      <c r="AA67" s="82"/>
      <c r="AB67" s="82"/>
      <c r="AC67" s="3"/>
    </row>
    <row r="68" spans="1:29" s="2" customFormat="1" ht="31" x14ac:dyDescent="0.35">
      <c r="A68" s="79" t="s">
        <v>134</v>
      </c>
      <c r="B68" s="80" t="s">
        <v>135</v>
      </c>
      <c r="C68" s="80" t="s">
        <v>152</v>
      </c>
      <c r="D68" s="80"/>
      <c r="E68" s="80"/>
      <c r="F68" s="80"/>
      <c r="G68" s="80"/>
      <c r="H68" s="80" t="s">
        <v>154</v>
      </c>
      <c r="I68" s="80"/>
      <c r="J68" s="80"/>
      <c r="K68" s="80"/>
      <c r="L68" s="80"/>
      <c r="M68" s="80"/>
      <c r="N68" s="80"/>
      <c r="O68" s="81"/>
      <c r="P68" s="81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3"/>
    </row>
    <row r="69" spans="1:29" ht="31" x14ac:dyDescent="0.35">
      <c r="A69" s="71" t="s">
        <v>134</v>
      </c>
      <c r="B69" s="83" t="s">
        <v>135</v>
      </c>
      <c r="C69" s="84" t="s">
        <v>155</v>
      </c>
      <c r="D69" s="84"/>
      <c r="E69" s="85" t="s">
        <v>72</v>
      </c>
      <c r="F69" s="84"/>
      <c r="G69" s="84"/>
      <c r="H69" s="83" t="s">
        <v>85</v>
      </c>
      <c r="I69" s="84" t="s">
        <v>138</v>
      </c>
      <c r="J69" s="83" t="s">
        <v>43</v>
      </c>
      <c r="K69" s="83" t="s">
        <v>43</v>
      </c>
      <c r="L69" s="83"/>
      <c r="M69" s="83" t="s">
        <v>44</v>
      </c>
      <c r="N69" s="86">
        <v>186.12</v>
      </c>
      <c r="O69" s="86">
        <v>120</v>
      </c>
      <c r="P69" s="86"/>
      <c r="Q69" s="87"/>
      <c r="R69" s="87"/>
      <c r="S69" s="87"/>
      <c r="T69" s="87"/>
      <c r="U69" s="93" t="s">
        <v>86</v>
      </c>
      <c r="V69" s="87"/>
      <c r="W69" s="87"/>
      <c r="X69" s="87"/>
      <c r="Y69" s="87"/>
      <c r="Z69" s="87"/>
      <c r="AA69" s="87"/>
      <c r="AB69" s="87"/>
      <c r="AC69" s="8"/>
    </row>
    <row r="70" spans="1:29" s="2" customFormat="1" ht="31" x14ac:dyDescent="0.35">
      <c r="A70" s="79" t="s">
        <v>134</v>
      </c>
      <c r="B70" s="80" t="s">
        <v>135</v>
      </c>
      <c r="C70" s="80" t="s">
        <v>155</v>
      </c>
      <c r="D70" s="80"/>
      <c r="E70" s="80"/>
      <c r="F70" s="80"/>
      <c r="G70" s="80"/>
      <c r="H70" s="80" t="s">
        <v>156</v>
      </c>
      <c r="I70" s="80"/>
      <c r="J70" s="80"/>
      <c r="K70" s="80"/>
      <c r="L70" s="80"/>
      <c r="M70" s="80"/>
      <c r="N70" s="80"/>
      <c r="O70" s="81"/>
      <c r="P70" s="81"/>
      <c r="Q70" s="82"/>
      <c r="R70" s="82"/>
      <c r="S70" s="82"/>
      <c r="T70" s="82"/>
      <c r="U70" s="82"/>
      <c r="V70" s="82"/>
      <c r="W70" s="82"/>
      <c r="X70" s="82"/>
      <c r="Y70" s="82"/>
      <c r="Z70" s="82"/>
      <c r="AA70" s="82"/>
      <c r="AB70" s="82"/>
      <c r="AC70" s="3"/>
    </row>
    <row r="71" spans="1:29" s="2" customFormat="1" ht="31" x14ac:dyDescent="0.35">
      <c r="A71" s="79" t="s">
        <v>134</v>
      </c>
      <c r="B71" s="80" t="s">
        <v>135</v>
      </c>
      <c r="C71" s="80" t="s">
        <v>155</v>
      </c>
      <c r="D71" s="80"/>
      <c r="E71" s="80"/>
      <c r="F71" s="80"/>
      <c r="G71" s="80"/>
      <c r="H71" s="80" t="s">
        <v>157</v>
      </c>
      <c r="I71" s="80"/>
      <c r="J71" s="80"/>
      <c r="K71" s="80"/>
      <c r="L71" s="80"/>
      <c r="M71" s="80"/>
      <c r="N71" s="80"/>
      <c r="O71" s="81"/>
      <c r="P71" s="81"/>
      <c r="Q71" s="82"/>
      <c r="R71" s="82"/>
      <c r="S71" s="82"/>
      <c r="T71" s="82"/>
      <c r="U71" s="82"/>
      <c r="V71" s="82"/>
      <c r="W71" s="82"/>
      <c r="X71" s="82"/>
      <c r="Y71" s="82"/>
      <c r="Z71" s="82"/>
      <c r="AA71" s="82"/>
      <c r="AB71" s="82"/>
      <c r="AC71" s="3"/>
    </row>
    <row r="72" spans="1:29" ht="31" x14ac:dyDescent="0.35">
      <c r="A72" s="71" t="s">
        <v>134</v>
      </c>
      <c r="B72" s="83" t="s">
        <v>135</v>
      </c>
      <c r="C72" s="84" t="s">
        <v>158</v>
      </c>
      <c r="D72" s="84"/>
      <c r="E72" s="85" t="s">
        <v>72</v>
      </c>
      <c r="F72" s="84"/>
      <c r="G72" s="84"/>
      <c r="H72" s="83" t="s">
        <v>159</v>
      </c>
      <c r="I72" s="84" t="s">
        <v>138</v>
      </c>
      <c r="J72" s="88" t="s">
        <v>82</v>
      </c>
      <c r="K72" s="88" t="s">
        <v>43</v>
      </c>
      <c r="L72" s="88"/>
      <c r="M72" s="83" t="s">
        <v>44</v>
      </c>
      <c r="N72" s="100" t="s">
        <v>83</v>
      </c>
      <c r="O72" s="86">
        <v>3312</v>
      </c>
      <c r="P72" s="86"/>
      <c r="Q72" s="87"/>
      <c r="R72" s="87"/>
      <c r="S72" s="87"/>
      <c r="T72" s="87"/>
      <c r="U72" s="93" t="s">
        <v>86</v>
      </c>
      <c r="V72" s="87"/>
      <c r="W72" s="87"/>
      <c r="X72" s="87"/>
      <c r="Y72" s="87"/>
      <c r="Z72" s="87"/>
      <c r="AA72" s="87"/>
      <c r="AB72" s="87"/>
      <c r="AC72" s="8"/>
    </row>
    <row r="73" spans="1:29" s="2" customFormat="1" ht="31" x14ac:dyDescent="0.35">
      <c r="A73" s="79" t="s">
        <v>134</v>
      </c>
      <c r="B73" s="80" t="s">
        <v>135</v>
      </c>
      <c r="C73" s="80" t="s">
        <v>158</v>
      </c>
      <c r="D73" s="80"/>
      <c r="E73" s="80"/>
      <c r="F73" s="80"/>
      <c r="G73" s="80"/>
      <c r="H73" s="80" t="s">
        <v>160</v>
      </c>
      <c r="I73" s="80"/>
      <c r="J73" s="80"/>
      <c r="K73" s="80"/>
      <c r="L73" s="80"/>
      <c r="M73" s="80"/>
      <c r="N73" s="80"/>
      <c r="O73" s="81"/>
      <c r="P73" s="81"/>
      <c r="Q73" s="82"/>
      <c r="R73" s="82"/>
      <c r="S73" s="82"/>
      <c r="T73" s="82"/>
      <c r="U73" s="82"/>
      <c r="V73" s="82"/>
      <c r="W73" s="82"/>
      <c r="X73" s="82"/>
      <c r="Y73" s="82"/>
      <c r="Z73" s="82"/>
      <c r="AA73" s="82"/>
      <c r="AB73" s="82"/>
      <c r="AC73" s="3"/>
    </row>
    <row r="74" spans="1:29" s="2" customFormat="1" ht="31" x14ac:dyDescent="0.35">
      <c r="A74" s="79" t="s">
        <v>134</v>
      </c>
      <c r="B74" s="80" t="s">
        <v>135</v>
      </c>
      <c r="C74" s="80" t="s">
        <v>158</v>
      </c>
      <c r="D74" s="80"/>
      <c r="E74" s="80"/>
      <c r="F74" s="80"/>
      <c r="G74" s="80"/>
      <c r="H74" s="80" t="s">
        <v>161</v>
      </c>
      <c r="I74" s="80"/>
      <c r="J74" s="80"/>
      <c r="K74" s="80"/>
      <c r="L74" s="80"/>
      <c r="M74" s="80"/>
      <c r="N74" s="80"/>
      <c r="O74" s="81"/>
      <c r="P74" s="81"/>
      <c r="Q74" s="82"/>
      <c r="R74" s="82"/>
      <c r="S74" s="82"/>
      <c r="T74" s="82"/>
      <c r="U74" s="82"/>
      <c r="V74" s="82"/>
      <c r="W74" s="82"/>
      <c r="X74" s="82"/>
      <c r="Y74" s="82"/>
      <c r="Z74" s="82"/>
      <c r="AA74" s="82"/>
      <c r="AB74" s="82"/>
      <c r="AC74" s="3"/>
    </row>
    <row r="75" spans="1:29" s="2" customFormat="1" ht="31" x14ac:dyDescent="0.35">
      <c r="A75" s="79" t="s">
        <v>134</v>
      </c>
      <c r="B75" s="80" t="s">
        <v>135</v>
      </c>
      <c r="C75" s="80" t="s">
        <v>158</v>
      </c>
      <c r="D75" s="80"/>
      <c r="E75" s="80"/>
      <c r="F75" s="80"/>
      <c r="G75" s="80"/>
      <c r="H75" s="80" t="s">
        <v>162</v>
      </c>
      <c r="I75" s="80"/>
      <c r="J75" s="80"/>
      <c r="K75" s="80"/>
      <c r="L75" s="80"/>
      <c r="M75" s="80"/>
      <c r="N75" s="80"/>
      <c r="O75" s="81"/>
      <c r="P75" s="81"/>
      <c r="Q75" s="82"/>
      <c r="R75" s="82"/>
      <c r="S75" s="82"/>
      <c r="T75" s="82"/>
      <c r="U75" s="82"/>
      <c r="V75" s="82"/>
      <c r="W75" s="82"/>
      <c r="X75" s="82"/>
      <c r="Y75" s="82"/>
      <c r="Z75" s="82"/>
      <c r="AA75" s="82"/>
      <c r="AB75" s="82"/>
      <c r="AC75" s="3"/>
    </row>
    <row r="76" spans="1:29" s="2" customFormat="1" ht="31" x14ac:dyDescent="0.35">
      <c r="A76" s="79" t="s">
        <v>134</v>
      </c>
      <c r="B76" s="80" t="s">
        <v>135</v>
      </c>
      <c r="C76" s="80" t="s">
        <v>158</v>
      </c>
      <c r="D76" s="80"/>
      <c r="E76" s="80"/>
      <c r="F76" s="80"/>
      <c r="G76" s="80"/>
      <c r="H76" s="80" t="s">
        <v>163</v>
      </c>
      <c r="I76" s="80"/>
      <c r="J76" s="80"/>
      <c r="K76" s="80"/>
      <c r="L76" s="80"/>
      <c r="M76" s="80"/>
      <c r="N76" s="80"/>
      <c r="O76" s="81"/>
      <c r="P76" s="81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3"/>
    </row>
    <row r="77" spans="1:29" s="2" customFormat="1" ht="31" x14ac:dyDescent="0.35">
      <c r="A77" s="79" t="s">
        <v>134</v>
      </c>
      <c r="B77" s="80" t="s">
        <v>135</v>
      </c>
      <c r="C77" s="80" t="s">
        <v>158</v>
      </c>
      <c r="D77" s="80"/>
      <c r="E77" s="80"/>
      <c r="F77" s="80"/>
      <c r="G77" s="80"/>
      <c r="H77" s="80" t="s">
        <v>164</v>
      </c>
      <c r="I77" s="80"/>
      <c r="J77" s="80"/>
      <c r="K77" s="80"/>
      <c r="L77" s="80"/>
      <c r="M77" s="80"/>
      <c r="N77" s="80"/>
      <c r="O77" s="81"/>
      <c r="P77" s="81"/>
      <c r="Q77" s="82"/>
      <c r="R77" s="82"/>
      <c r="S77" s="82"/>
      <c r="T77" s="82"/>
      <c r="U77" s="82"/>
      <c r="V77" s="82"/>
      <c r="W77" s="82"/>
      <c r="X77" s="82"/>
      <c r="Y77" s="82"/>
      <c r="Z77" s="82"/>
      <c r="AA77" s="82"/>
      <c r="AB77" s="82"/>
      <c r="AC77" s="3"/>
    </row>
    <row r="78" spans="1:29" ht="31" x14ac:dyDescent="0.35">
      <c r="A78" s="71" t="s">
        <v>134</v>
      </c>
      <c r="B78" s="83" t="s">
        <v>135</v>
      </c>
      <c r="C78" s="84" t="s">
        <v>165</v>
      </c>
      <c r="D78" s="89" t="s">
        <v>40</v>
      </c>
      <c r="E78" s="85" t="s">
        <v>72</v>
      </c>
      <c r="F78" s="84"/>
      <c r="G78" s="85" t="s">
        <v>72</v>
      </c>
      <c r="H78" s="83" t="s">
        <v>117</v>
      </c>
      <c r="I78" s="84" t="s">
        <v>138</v>
      </c>
      <c r="J78" s="83" t="s">
        <v>118</v>
      </c>
      <c r="K78" s="83" t="s">
        <v>75</v>
      </c>
      <c r="L78" s="83"/>
      <c r="M78" s="83" t="s">
        <v>119</v>
      </c>
      <c r="N78" s="86" t="s">
        <v>120</v>
      </c>
      <c r="O78" s="86" t="s">
        <v>120</v>
      </c>
      <c r="P78" s="86"/>
      <c r="Q78" s="87"/>
      <c r="R78" s="93" t="s">
        <v>86</v>
      </c>
      <c r="S78" s="87"/>
      <c r="T78" s="87"/>
      <c r="U78" s="87"/>
      <c r="V78" s="87"/>
      <c r="W78" s="87"/>
      <c r="X78" s="93" t="s">
        <v>45</v>
      </c>
      <c r="Y78" s="87"/>
      <c r="Z78" s="87"/>
      <c r="AA78" s="87"/>
      <c r="AB78" s="87"/>
      <c r="AC78" s="8"/>
    </row>
    <row r="79" spans="1:29" s="2" customFormat="1" ht="31" x14ac:dyDescent="0.35">
      <c r="A79" s="79" t="s">
        <v>134</v>
      </c>
      <c r="B79" s="80" t="s">
        <v>135</v>
      </c>
      <c r="C79" s="80" t="s">
        <v>165</v>
      </c>
      <c r="D79" s="80"/>
      <c r="E79" s="80"/>
      <c r="F79" s="80"/>
      <c r="G79" s="80"/>
      <c r="H79" s="80" t="s">
        <v>166</v>
      </c>
      <c r="I79" s="80"/>
      <c r="J79" s="80"/>
      <c r="K79" s="80"/>
      <c r="L79" s="80"/>
      <c r="M79" s="80"/>
      <c r="N79" s="80"/>
      <c r="O79" s="81"/>
      <c r="P79" s="81"/>
      <c r="Q79" s="82"/>
      <c r="R79" s="82"/>
      <c r="S79" s="82"/>
      <c r="T79" s="82"/>
      <c r="U79" s="82"/>
      <c r="V79" s="82"/>
      <c r="W79" s="82"/>
      <c r="X79" s="82"/>
      <c r="Y79" s="82"/>
      <c r="Z79" s="82"/>
      <c r="AA79" s="82"/>
      <c r="AB79" s="82"/>
      <c r="AC79" s="3"/>
    </row>
    <row r="80" spans="1:29" s="2" customFormat="1" ht="31" x14ac:dyDescent="0.35">
      <c r="A80" s="79" t="s">
        <v>134</v>
      </c>
      <c r="B80" s="80" t="s">
        <v>135</v>
      </c>
      <c r="C80" s="80" t="s">
        <v>165</v>
      </c>
      <c r="D80" s="80"/>
      <c r="E80" s="80"/>
      <c r="F80" s="80"/>
      <c r="G80" s="80"/>
      <c r="H80" s="80" t="s">
        <v>167</v>
      </c>
      <c r="I80" s="80"/>
      <c r="J80" s="80"/>
      <c r="K80" s="80"/>
      <c r="L80" s="80"/>
      <c r="M80" s="80"/>
      <c r="N80" s="80"/>
      <c r="O80" s="81"/>
      <c r="P80" s="81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3"/>
    </row>
    <row r="81" spans="1:29" s="2" customFormat="1" ht="31" x14ac:dyDescent="0.35">
      <c r="A81" s="79" t="s">
        <v>134</v>
      </c>
      <c r="B81" s="80" t="s">
        <v>135</v>
      </c>
      <c r="C81" s="80" t="s">
        <v>165</v>
      </c>
      <c r="D81" s="80"/>
      <c r="E81" s="80"/>
      <c r="F81" s="80"/>
      <c r="G81" s="80"/>
      <c r="H81" s="80" t="s">
        <v>168</v>
      </c>
      <c r="I81" s="80"/>
      <c r="J81" s="80"/>
      <c r="K81" s="80"/>
      <c r="L81" s="80"/>
      <c r="M81" s="80"/>
      <c r="N81" s="80"/>
      <c r="O81" s="81"/>
      <c r="P81" s="81"/>
      <c r="Q81" s="82"/>
      <c r="R81" s="82"/>
      <c r="S81" s="82"/>
      <c r="T81" s="82"/>
      <c r="U81" s="82"/>
      <c r="V81" s="82"/>
      <c r="W81" s="82"/>
      <c r="X81" s="82"/>
      <c r="Y81" s="82"/>
      <c r="Z81" s="82"/>
      <c r="AA81" s="82"/>
      <c r="AB81" s="82"/>
      <c r="AC81" s="3"/>
    </row>
    <row r="82" spans="1:29" s="2" customFormat="1" ht="31" x14ac:dyDescent="0.35">
      <c r="A82" s="79" t="s">
        <v>134</v>
      </c>
      <c r="B82" s="80" t="s">
        <v>135</v>
      </c>
      <c r="C82" s="80" t="s">
        <v>169</v>
      </c>
      <c r="D82" s="80"/>
      <c r="E82" s="80"/>
      <c r="F82" s="80"/>
      <c r="G82" s="80"/>
      <c r="H82" s="80" t="s">
        <v>170</v>
      </c>
      <c r="I82" s="80"/>
      <c r="J82" s="80"/>
      <c r="K82" s="80"/>
      <c r="L82" s="80"/>
      <c r="M82" s="80"/>
      <c r="N82" s="80"/>
      <c r="O82" s="81"/>
      <c r="P82" s="81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3"/>
    </row>
    <row r="83" spans="1:29" ht="31" x14ac:dyDescent="0.35">
      <c r="A83" s="71" t="s">
        <v>134</v>
      </c>
      <c r="B83" s="83" t="s">
        <v>135</v>
      </c>
      <c r="C83" s="84" t="s">
        <v>171</v>
      </c>
      <c r="D83" s="84"/>
      <c r="E83" s="85" t="s">
        <v>72</v>
      </c>
      <c r="F83" s="84"/>
      <c r="G83" s="84"/>
      <c r="H83" s="83" t="s">
        <v>172</v>
      </c>
      <c r="I83" s="84" t="s">
        <v>138</v>
      </c>
      <c r="J83" s="83" t="s">
        <v>173</v>
      </c>
      <c r="K83" s="83" t="s">
        <v>75</v>
      </c>
      <c r="L83" s="83"/>
      <c r="M83" s="83"/>
      <c r="N83" s="86">
        <v>3216</v>
      </c>
      <c r="O83" s="86">
        <v>3216</v>
      </c>
      <c r="P83" s="86"/>
      <c r="Q83" s="87"/>
      <c r="R83" s="87"/>
      <c r="S83" s="87"/>
      <c r="T83" s="87"/>
      <c r="U83" s="87"/>
      <c r="V83" s="87"/>
      <c r="W83" s="87"/>
      <c r="X83" s="93" t="s">
        <v>86</v>
      </c>
      <c r="Y83" s="87"/>
      <c r="Z83" s="87"/>
      <c r="AA83" s="87"/>
      <c r="AB83" s="87"/>
      <c r="AC83" s="8"/>
    </row>
    <row r="84" spans="1:29" s="2" customFormat="1" ht="31" x14ac:dyDescent="0.35">
      <c r="A84" s="79" t="s">
        <v>134</v>
      </c>
      <c r="B84" s="80" t="s">
        <v>135</v>
      </c>
      <c r="C84" s="80" t="s">
        <v>171</v>
      </c>
      <c r="D84" s="80"/>
      <c r="E84" s="80"/>
      <c r="F84" s="80"/>
      <c r="G84" s="80"/>
      <c r="H84" s="80" t="s">
        <v>174</v>
      </c>
      <c r="I84" s="80"/>
      <c r="J84" s="80"/>
      <c r="K84" s="80"/>
      <c r="L84" s="80"/>
      <c r="M84" s="80"/>
      <c r="N84" s="80"/>
      <c r="O84" s="81"/>
      <c r="P84" s="81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3"/>
    </row>
    <row r="85" spans="1:29" s="2" customFormat="1" ht="31" x14ac:dyDescent="0.35">
      <c r="A85" s="79" t="s">
        <v>134</v>
      </c>
      <c r="B85" s="80" t="s">
        <v>135</v>
      </c>
      <c r="C85" s="80" t="s">
        <v>171</v>
      </c>
      <c r="D85" s="80"/>
      <c r="E85" s="80"/>
      <c r="F85" s="80"/>
      <c r="G85" s="80"/>
      <c r="H85" s="80" t="s">
        <v>175</v>
      </c>
      <c r="I85" s="80"/>
      <c r="J85" s="80"/>
      <c r="K85" s="80"/>
      <c r="L85" s="80"/>
      <c r="M85" s="80"/>
      <c r="N85" s="80"/>
      <c r="O85" s="81"/>
      <c r="P85" s="81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3"/>
    </row>
    <row r="86" spans="1:29" ht="77.5" x14ac:dyDescent="0.35">
      <c r="A86" s="71" t="s">
        <v>37</v>
      </c>
      <c r="B86" s="83" t="s">
        <v>38</v>
      </c>
      <c r="C86" s="90" t="s">
        <v>176</v>
      </c>
      <c r="D86" s="90" t="s">
        <v>99</v>
      </c>
      <c r="E86" s="90"/>
      <c r="F86" s="90"/>
      <c r="G86" s="90"/>
      <c r="H86" s="83" t="s">
        <v>177</v>
      </c>
      <c r="I86" s="84" t="s">
        <v>178</v>
      </c>
      <c r="J86" s="83" t="s">
        <v>179</v>
      </c>
      <c r="K86" s="83" t="s">
        <v>75</v>
      </c>
      <c r="L86" s="83"/>
      <c r="M86" s="83"/>
      <c r="N86" s="86" t="s">
        <v>44</v>
      </c>
      <c r="O86" s="86" t="s">
        <v>44</v>
      </c>
      <c r="P86" s="86"/>
      <c r="Q86" s="93" t="s">
        <v>100</v>
      </c>
      <c r="R86" s="93" t="s">
        <v>100</v>
      </c>
      <c r="S86" s="93" t="s">
        <v>100</v>
      </c>
      <c r="T86" s="93" t="s">
        <v>100</v>
      </c>
      <c r="U86" s="93" t="s">
        <v>100</v>
      </c>
      <c r="V86" s="93" t="s">
        <v>100</v>
      </c>
      <c r="W86" s="93" t="s">
        <v>100</v>
      </c>
      <c r="X86" s="93" t="s">
        <v>100</v>
      </c>
      <c r="Y86" s="93" t="s">
        <v>100</v>
      </c>
      <c r="Z86" s="93" t="s">
        <v>100</v>
      </c>
      <c r="AA86" s="93" t="s">
        <v>100</v>
      </c>
      <c r="AB86" s="93" t="s">
        <v>100</v>
      </c>
      <c r="AC86" s="8" t="s">
        <v>180</v>
      </c>
    </row>
    <row r="87" spans="1:29" ht="77.5" x14ac:dyDescent="0.35">
      <c r="A87" s="71" t="s">
        <v>134</v>
      </c>
      <c r="B87" s="83" t="s">
        <v>135</v>
      </c>
      <c r="C87" s="84" t="s">
        <v>181</v>
      </c>
      <c r="D87" s="89" t="s">
        <v>99</v>
      </c>
      <c r="E87" s="84"/>
      <c r="F87" s="84"/>
      <c r="G87" s="84"/>
      <c r="H87" s="83" t="s">
        <v>177</v>
      </c>
      <c r="I87" s="84" t="s">
        <v>182</v>
      </c>
      <c r="J87" s="83" t="s">
        <v>183</v>
      </c>
      <c r="K87" s="83" t="s">
        <v>75</v>
      </c>
      <c r="L87" s="83"/>
      <c r="M87" s="83"/>
      <c r="N87" s="86" t="s">
        <v>44</v>
      </c>
      <c r="O87" s="86" t="s">
        <v>44</v>
      </c>
      <c r="P87" s="86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8" t="s">
        <v>180</v>
      </c>
    </row>
    <row r="88" spans="1:29" s="2" customFormat="1" ht="46.5" x14ac:dyDescent="0.35">
      <c r="A88" s="79" t="s">
        <v>134</v>
      </c>
      <c r="B88" s="80" t="s">
        <v>135</v>
      </c>
      <c r="C88" s="80" t="s">
        <v>181</v>
      </c>
      <c r="D88" s="80"/>
      <c r="E88" s="80"/>
      <c r="F88" s="80"/>
      <c r="G88" s="80"/>
      <c r="H88" s="80" t="s">
        <v>184</v>
      </c>
      <c r="I88" s="80"/>
      <c r="J88" s="80"/>
      <c r="K88" s="80"/>
      <c r="L88" s="80"/>
      <c r="M88" s="80"/>
      <c r="N88" s="80"/>
      <c r="O88" s="81"/>
      <c r="P88" s="81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3"/>
    </row>
    <row r="89" spans="1:29" ht="31" x14ac:dyDescent="0.35">
      <c r="A89" s="83" t="s">
        <v>134</v>
      </c>
      <c r="B89" s="83" t="s">
        <v>135</v>
      </c>
      <c r="C89" s="84" t="s">
        <v>185</v>
      </c>
      <c r="D89" s="92" t="s">
        <v>72</v>
      </c>
      <c r="E89" s="84"/>
      <c r="F89" s="84"/>
      <c r="G89" s="84"/>
      <c r="H89" s="83" t="s">
        <v>186</v>
      </c>
      <c r="I89" s="84" t="s">
        <v>138</v>
      </c>
      <c r="J89" s="83" t="s">
        <v>187</v>
      </c>
      <c r="K89" s="83" t="s">
        <v>43</v>
      </c>
      <c r="L89" s="83"/>
      <c r="M89" s="83" t="s">
        <v>188</v>
      </c>
      <c r="N89" s="86">
        <v>990</v>
      </c>
      <c r="O89" s="86">
        <v>750</v>
      </c>
      <c r="P89" s="86"/>
      <c r="Q89" s="87"/>
      <c r="R89" s="87"/>
      <c r="S89" s="87"/>
      <c r="T89" s="87"/>
      <c r="U89" s="87"/>
      <c r="V89" s="87"/>
      <c r="W89" s="87"/>
      <c r="X89" s="93" t="s">
        <v>189</v>
      </c>
      <c r="Y89" s="87"/>
      <c r="Z89" s="87"/>
      <c r="AA89" s="87"/>
      <c r="AB89" s="87"/>
      <c r="AC89" s="8"/>
    </row>
    <row r="90" spans="1:29" ht="31" x14ac:dyDescent="0.35">
      <c r="A90" s="95" t="s">
        <v>134</v>
      </c>
      <c r="B90" s="95" t="s">
        <v>135</v>
      </c>
      <c r="C90" s="96" t="s">
        <v>190</v>
      </c>
      <c r="D90" s="92" t="s">
        <v>99</v>
      </c>
      <c r="E90" s="84"/>
      <c r="F90" s="84"/>
      <c r="G90" s="84"/>
      <c r="H90" s="95" t="s">
        <v>191</v>
      </c>
      <c r="I90" s="96" t="s">
        <v>138</v>
      </c>
      <c r="J90" s="88" t="s">
        <v>74</v>
      </c>
      <c r="K90" s="88" t="s">
        <v>75</v>
      </c>
      <c r="L90" s="88" t="s">
        <v>66</v>
      </c>
      <c r="M90" s="72" t="s">
        <v>67</v>
      </c>
      <c r="N90" s="86">
        <v>0</v>
      </c>
      <c r="O90" s="86">
        <v>0</v>
      </c>
      <c r="P90" s="86"/>
      <c r="Q90" s="228" t="s">
        <v>100</v>
      </c>
      <c r="R90" s="191" t="s">
        <v>100</v>
      </c>
      <c r="S90" s="191" t="s">
        <v>100</v>
      </c>
      <c r="T90" s="191" t="s">
        <v>100</v>
      </c>
      <c r="U90" s="191" t="s">
        <v>100</v>
      </c>
      <c r="V90" s="191" t="s">
        <v>100</v>
      </c>
      <c r="W90" s="191" t="s">
        <v>100</v>
      </c>
      <c r="X90" s="191" t="s">
        <v>192</v>
      </c>
      <c r="Y90" s="191" t="s">
        <v>100</v>
      </c>
      <c r="Z90" s="191" t="s">
        <v>100</v>
      </c>
      <c r="AA90" s="191" t="s">
        <v>100</v>
      </c>
      <c r="AB90" s="191" t="s">
        <v>100</v>
      </c>
      <c r="AC90" s="8"/>
    </row>
    <row r="91" spans="1:29" ht="31" x14ac:dyDescent="0.35">
      <c r="A91" s="95" t="s">
        <v>134</v>
      </c>
      <c r="B91" s="95" t="s">
        <v>135</v>
      </c>
      <c r="C91" s="96" t="s">
        <v>190</v>
      </c>
      <c r="D91" s="92" t="s">
        <v>193</v>
      </c>
      <c r="E91" s="84"/>
      <c r="F91" s="84"/>
      <c r="G91" s="84"/>
      <c r="H91" s="95" t="s">
        <v>194</v>
      </c>
      <c r="I91" s="96" t="s">
        <v>138</v>
      </c>
      <c r="J91" s="88" t="s">
        <v>195</v>
      </c>
      <c r="K91" s="88" t="s">
        <v>75</v>
      </c>
      <c r="L91" s="88"/>
      <c r="M91" s="83"/>
      <c r="N91" s="86">
        <v>713.34</v>
      </c>
      <c r="O91" s="86">
        <v>200</v>
      </c>
      <c r="P91" s="218"/>
      <c r="Q91" s="145"/>
      <c r="R91" s="216" t="s">
        <v>45</v>
      </c>
      <c r="S91" s="145"/>
      <c r="T91" s="145"/>
      <c r="U91" s="145"/>
      <c r="V91" s="145"/>
      <c r="W91" s="145"/>
      <c r="X91" s="216" t="s">
        <v>45</v>
      </c>
      <c r="Y91" s="145"/>
      <c r="Z91" s="145"/>
      <c r="AA91" s="145"/>
      <c r="AB91" s="145"/>
      <c r="AC91" s="51"/>
    </row>
    <row r="92" spans="1:29" s="2" customFormat="1" ht="31" x14ac:dyDescent="0.35">
      <c r="A92" s="96" t="s">
        <v>134</v>
      </c>
      <c r="B92" s="96" t="s">
        <v>135</v>
      </c>
      <c r="C92" s="96" t="s">
        <v>196</v>
      </c>
      <c r="D92" s="84"/>
      <c r="E92" s="98" t="s">
        <v>72</v>
      </c>
      <c r="F92" s="84"/>
      <c r="G92" s="84"/>
      <c r="H92" s="96" t="s">
        <v>197</v>
      </c>
      <c r="I92" s="96" t="s">
        <v>138</v>
      </c>
      <c r="J92" s="112" t="s">
        <v>44</v>
      </c>
      <c r="K92" s="112"/>
      <c r="L92" s="112"/>
      <c r="M92" s="85"/>
      <c r="N92" s="85" t="s">
        <v>83</v>
      </c>
      <c r="O92" s="86">
        <v>600</v>
      </c>
      <c r="P92" s="86"/>
      <c r="Q92" s="224"/>
      <c r="R92" s="224"/>
      <c r="S92" s="258"/>
      <c r="T92" s="258"/>
      <c r="U92" s="258"/>
      <c r="V92" s="258"/>
      <c r="W92" s="258"/>
      <c r="X92" s="259" t="s">
        <v>72</v>
      </c>
      <c r="Y92" s="224"/>
      <c r="Z92" s="224"/>
      <c r="AA92" s="224"/>
      <c r="AB92" s="224"/>
      <c r="AC92" s="4"/>
    </row>
    <row r="93" spans="1:29" ht="31" x14ac:dyDescent="0.35">
      <c r="A93" s="95" t="s">
        <v>134</v>
      </c>
      <c r="B93" s="95" t="s">
        <v>135</v>
      </c>
      <c r="C93" s="96" t="s">
        <v>198</v>
      </c>
      <c r="D93" s="84"/>
      <c r="E93" s="98" t="s">
        <v>99</v>
      </c>
      <c r="F93" s="84"/>
      <c r="G93" s="98" t="s">
        <v>99</v>
      </c>
      <c r="H93" s="95" t="s">
        <v>199</v>
      </c>
      <c r="I93" s="96" t="s">
        <v>138</v>
      </c>
      <c r="J93" s="88" t="s">
        <v>74</v>
      </c>
      <c r="K93" s="88" t="s">
        <v>75</v>
      </c>
      <c r="L93" s="88" t="s">
        <v>66</v>
      </c>
      <c r="M93" s="72" t="s">
        <v>67</v>
      </c>
      <c r="N93" s="86"/>
      <c r="O93" s="86"/>
      <c r="P93" s="113"/>
      <c r="Q93" s="209" t="s">
        <v>100</v>
      </c>
      <c r="R93" s="256" t="s">
        <v>100</v>
      </c>
      <c r="S93" s="216" t="s">
        <v>100</v>
      </c>
      <c r="T93" s="216" t="s">
        <v>100</v>
      </c>
      <c r="U93" s="216" t="s">
        <v>100</v>
      </c>
      <c r="V93" s="216" t="s">
        <v>100</v>
      </c>
      <c r="W93" s="216" t="s">
        <v>100</v>
      </c>
      <c r="X93" s="216" t="s">
        <v>192</v>
      </c>
      <c r="Y93" s="257" t="s">
        <v>100</v>
      </c>
      <c r="Z93" s="257" t="s">
        <v>100</v>
      </c>
      <c r="AA93" s="191" t="s">
        <v>100</v>
      </c>
      <c r="AB93" s="191" t="s">
        <v>100</v>
      </c>
      <c r="AC93" s="8"/>
    </row>
    <row r="94" spans="1:29" ht="31" x14ac:dyDescent="0.35">
      <c r="A94" s="95" t="s">
        <v>134</v>
      </c>
      <c r="B94" s="95" t="s">
        <v>135</v>
      </c>
      <c r="C94" s="96" t="s">
        <v>198</v>
      </c>
      <c r="D94" s="84"/>
      <c r="E94" s="98" t="s">
        <v>72</v>
      </c>
      <c r="F94" s="84"/>
      <c r="G94" s="98" t="s">
        <v>200</v>
      </c>
      <c r="H94" s="95" t="s">
        <v>199</v>
      </c>
      <c r="I94" s="96" t="s">
        <v>138</v>
      </c>
      <c r="J94" s="83" t="s">
        <v>43</v>
      </c>
      <c r="K94" s="83" t="s">
        <v>43</v>
      </c>
      <c r="L94" s="83"/>
      <c r="M94" s="83" t="s">
        <v>44</v>
      </c>
      <c r="N94" s="86">
        <v>186.12</v>
      </c>
      <c r="O94" s="86">
        <v>2100</v>
      </c>
      <c r="P94" s="113"/>
      <c r="Q94" s="87"/>
      <c r="R94" s="93" t="s">
        <v>45</v>
      </c>
      <c r="S94" s="110"/>
      <c r="T94" s="110"/>
      <c r="U94" s="110"/>
      <c r="V94" s="110"/>
      <c r="W94" s="110"/>
      <c r="X94" s="205" t="s">
        <v>45</v>
      </c>
      <c r="Y94" s="87"/>
      <c r="Z94" s="87"/>
      <c r="AA94" s="87"/>
      <c r="AB94" s="87"/>
      <c r="AC94" s="6"/>
    </row>
    <row r="95" spans="1:29" ht="31" x14ac:dyDescent="0.35">
      <c r="A95" s="95" t="s">
        <v>134</v>
      </c>
      <c r="B95" s="95" t="s">
        <v>135</v>
      </c>
      <c r="C95" s="96" t="s">
        <v>201</v>
      </c>
      <c r="D95" s="92" t="s">
        <v>114</v>
      </c>
      <c r="E95" s="84"/>
      <c r="F95" s="84"/>
      <c r="G95" s="84"/>
      <c r="H95" s="95" t="s">
        <v>202</v>
      </c>
      <c r="I95" s="96" t="s">
        <v>138</v>
      </c>
      <c r="J95" s="83" t="s">
        <v>105</v>
      </c>
      <c r="K95" s="83" t="s">
        <v>43</v>
      </c>
      <c r="L95" s="83"/>
      <c r="M95" s="83" t="s">
        <v>44</v>
      </c>
      <c r="N95" s="86">
        <v>748</v>
      </c>
      <c r="O95" s="86">
        <v>634</v>
      </c>
      <c r="P95" s="113"/>
      <c r="Q95" s="87"/>
      <c r="R95" s="93" t="s">
        <v>45</v>
      </c>
      <c r="S95" s="87"/>
      <c r="T95" s="87"/>
      <c r="U95" s="87"/>
      <c r="V95" s="87"/>
      <c r="W95" s="87"/>
      <c r="X95" s="93" t="s">
        <v>203</v>
      </c>
      <c r="Y95" s="87"/>
      <c r="Z95" s="87"/>
      <c r="AA95" s="87"/>
      <c r="AB95" s="87"/>
      <c r="AC95" s="8"/>
    </row>
    <row r="96" spans="1:29" ht="31" x14ac:dyDescent="0.35">
      <c r="A96" s="95" t="s">
        <v>134</v>
      </c>
      <c r="B96" s="95" t="s">
        <v>135</v>
      </c>
      <c r="C96" s="96" t="s">
        <v>204</v>
      </c>
      <c r="D96" s="84"/>
      <c r="E96" s="98" t="s">
        <v>72</v>
      </c>
      <c r="F96" s="84"/>
      <c r="G96" s="84"/>
      <c r="H96" s="95" t="s">
        <v>205</v>
      </c>
      <c r="I96" s="96" t="s">
        <v>138</v>
      </c>
      <c r="J96" s="83" t="s">
        <v>43</v>
      </c>
      <c r="K96" s="83" t="s">
        <v>43</v>
      </c>
      <c r="L96" s="83"/>
      <c r="M96" s="83" t="s">
        <v>44</v>
      </c>
      <c r="N96" s="86">
        <v>372.24</v>
      </c>
      <c r="O96" s="86">
        <v>520</v>
      </c>
      <c r="P96" s="113"/>
      <c r="Q96" s="87"/>
      <c r="R96" s="87"/>
      <c r="S96" s="87"/>
      <c r="T96" s="87"/>
      <c r="U96" s="209" t="s">
        <v>86</v>
      </c>
      <c r="V96" s="87"/>
      <c r="W96" s="87"/>
      <c r="X96" s="87"/>
      <c r="Y96" s="87"/>
      <c r="Z96" s="87"/>
      <c r="AA96" s="87"/>
      <c r="AB96" s="87"/>
      <c r="AC96" s="8"/>
    </row>
    <row r="97" spans="1:29" ht="31" x14ac:dyDescent="0.35">
      <c r="A97" s="95" t="s">
        <v>134</v>
      </c>
      <c r="B97" s="95" t="s">
        <v>135</v>
      </c>
      <c r="C97" s="96" t="s">
        <v>206</v>
      </c>
      <c r="D97" s="84"/>
      <c r="E97" s="98" t="s">
        <v>207</v>
      </c>
      <c r="F97" s="84"/>
      <c r="G97" s="98" t="s">
        <v>72</v>
      </c>
      <c r="H97" s="95" t="s">
        <v>208</v>
      </c>
      <c r="I97" s="96" t="s">
        <v>138</v>
      </c>
      <c r="J97" s="83" t="s">
        <v>94</v>
      </c>
      <c r="K97" s="83" t="s">
        <v>75</v>
      </c>
      <c r="L97" s="83" t="s">
        <v>66</v>
      </c>
      <c r="M97" s="72" t="s">
        <v>67</v>
      </c>
      <c r="N97" s="86">
        <v>486.12</v>
      </c>
      <c r="O97" s="86">
        <v>0</v>
      </c>
      <c r="P97" s="113" t="e">
        <f t="shared" ref="P97" si="0">N97/O97</f>
        <v>#DIV/0!</v>
      </c>
      <c r="Q97" s="93" t="s">
        <v>68</v>
      </c>
      <c r="R97" s="87"/>
      <c r="S97" s="87"/>
      <c r="T97" s="78" t="s">
        <v>64</v>
      </c>
      <c r="U97" s="87"/>
      <c r="V97" s="87"/>
      <c r="W97" s="78" t="s">
        <v>72</v>
      </c>
      <c r="X97" s="87"/>
      <c r="Y97" s="87"/>
      <c r="Z97" s="93" t="s">
        <v>68</v>
      </c>
      <c r="AA97" s="93" t="s">
        <v>86</v>
      </c>
      <c r="AB97" s="87"/>
      <c r="AC97" s="8"/>
    </row>
    <row r="98" spans="1:29" ht="31" x14ac:dyDescent="0.35">
      <c r="A98" s="83" t="s">
        <v>134</v>
      </c>
      <c r="B98" s="83" t="s">
        <v>135</v>
      </c>
      <c r="C98" s="84" t="s">
        <v>209</v>
      </c>
      <c r="D98" s="92" t="s">
        <v>72</v>
      </c>
      <c r="E98" s="84"/>
      <c r="F98" s="84"/>
      <c r="G98" s="84"/>
      <c r="H98" s="83" t="s">
        <v>210</v>
      </c>
      <c r="I98" s="84" t="s">
        <v>138</v>
      </c>
      <c r="J98" s="83" t="s">
        <v>43</v>
      </c>
      <c r="K98" s="83" t="s">
        <v>43</v>
      </c>
      <c r="L98" s="83"/>
      <c r="M98" s="83" t="s">
        <v>44</v>
      </c>
      <c r="N98" s="116"/>
      <c r="O98" s="116"/>
      <c r="P98" s="116"/>
      <c r="Q98" s="87"/>
      <c r="R98" s="87"/>
      <c r="S98" s="87"/>
      <c r="T98" s="87"/>
      <c r="U98" s="93" t="s">
        <v>86</v>
      </c>
      <c r="V98" s="87"/>
      <c r="W98" s="87"/>
      <c r="X98" s="87"/>
      <c r="Y98" s="87"/>
      <c r="Z98" s="87"/>
      <c r="AA98" s="87"/>
      <c r="AB98" s="87"/>
      <c r="AC98" s="8"/>
    </row>
    <row r="99" spans="1:29" ht="31" x14ac:dyDescent="0.35">
      <c r="A99" s="83" t="s">
        <v>134</v>
      </c>
      <c r="B99" s="83" t="s">
        <v>135</v>
      </c>
      <c r="C99" s="84" t="s">
        <v>211</v>
      </c>
      <c r="D99" s="92" t="s">
        <v>114</v>
      </c>
      <c r="E99" s="84"/>
      <c r="F99" s="84"/>
      <c r="G99" s="84"/>
      <c r="H99" s="83" t="s">
        <v>212</v>
      </c>
      <c r="I99" s="84" t="s">
        <v>138</v>
      </c>
      <c r="J99" s="83" t="s">
        <v>43</v>
      </c>
      <c r="K99" s="83" t="s">
        <v>43</v>
      </c>
      <c r="L99" s="83"/>
      <c r="M99" s="83" t="s">
        <v>44</v>
      </c>
      <c r="N99" s="86">
        <v>744.48</v>
      </c>
      <c r="O99" s="86">
        <v>3060</v>
      </c>
      <c r="P99" s="86"/>
      <c r="Q99" s="141"/>
      <c r="R99" s="191" t="s">
        <v>45</v>
      </c>
      <c r="S99" s="141"/>
      <c r="T99" s="141"/>
      <c r="U99" s="141"/>
      <c r="V99" s="141"/>
      <c r="W99" s="141"/>
      <c r="X99" s="142" t="s">
        <v>72</v>
      </c>
      <c r="Y99" s="141"/>
      <c r="Z99" s="141"/>
      <c r="AA99" s="141"/>
      <c r="AB99" s="141"/>
      <c r="AC99" s="8"/>
    </row>
    <row r="100" spans="1:29" ht="31" x14ac:dyDescent="0.35">
      <c r="A100" s="83" t="s">
        <v>134</v>
      </c>
      <c r="B100" s="83" t="s">
        <v>135</v>
      </c>
      <c r="C100" s="84"/>
      <c r="D100" s="92"/>
      <c r="E100" s="84"/>
      <c r="F100" s="84"/>
      <c r="G100" s="84"/>
      <c r="H100" s="83" t="s">
        <v>91</v>
      </c>
      <c r="I100" s="84" t="s">
        <v>138</v>
      </c>
      <c r="J100" s="83" t="s">
        <v>92</v>
      </c>
      <c r="K100" s="83" t="s">
        <v>75</v>
      </c>
      <c r="L100" s="83"/>
      <c r="M100" s="83"/>
      <c r="N100" s="86">
        <v>713.34</v>
      </c>
      <c r="O100" s="86">
        <v>80</v>
      </c>
      <c r="P100" s="218"/>
      <c r="Q100" s="145"/>
      <c r="R100" s="216" t="s">
        <v>45</v>
      </c>
      <c r="S100" s="145"/>
      <c r="T100" s="145"/>
      <c r="U100" s="145"/>
      <c r="V100" s="145"/>
      <c r="W100" s="145"/>
      <c r="X100" s="216" t="s">
        <v>45</v>
      </c>
      <c r="Y100" s="145"/>
      <c r="Z100" s="145"/>
      <c r="AA100" s="145"/>
      <c r="AB100" s="145"/>
      <c r="AC100" s="51"/>
    </row>
    <row r="101" spans="1:29" ht="31" x14ac:dyDescent="0.35">
      <c r="A101" s="95" t="s">
        <v>134</v>
      </c>
      <c r="B101" s="95" t="s">
        <v>135</v>
      </c>
      <c r="C101" s="96" t="s">
        <v>204</v>
      </c>
      <c r="D101" s="92" t="s">
        <v>99</v>
      </c>
      <c r="E101" s="84"/>
      <c r="F101" s="84"/>
      <c r="G101" s="84"/>
      <c r="H101" s="95" t="s">
        <v>205</v>
      </c>
      <c r="I101" s="96" t="s">
        <v>138</v>
      </c>
      <c r="J101" s="88" t="s">
        <v>74</v>
      </c>
      <c r="K101" s="88" t="s">
        <v>75</v>
      </c>
      <c r="L101" s="88" t="s">
        <v>66</v>
      </c>
      <c r="M101" s="72" t="s">
        <v>67</v>
      </c>
      <c r="N101" s="86">
        <v>0</v>
      </c>
      <c r="O101" s="86">
        <v>0</v>
      </c>
      <c r="P101" s="113"/>
      <c r="Q101" s="209" t="s">
        <v>100</v>
      </c>
      <c r="R101" s="93" t="s">
        <v>100</v>
      </c>
      <c r="S101" s="93" t="s">
        <v>100</v>
      </c>
      <c r="T101" s="93" t="s">
        <v>100</v>
      </c>
      <c r="U101" s="93" t="s">
        <v>100</v>
      </c>
      <c r="V101" s="93" t="s">
        <v>100</v>
      </c>
      <c r="W101" s="93" t="s">
        <v>100</v>
      </c>
      <c r="X101" s="93" t="s">
        <v>192</v>
      </c>
      <c r="Y101" s="93" t="s">
        <v>100</v>
      </c>
      <c r="Z101" s="93" t="s">
        <v>100</v>
      </c>
      <c r="AA101" s="191" t="s">
        <v>100</v>
      </c>
      <c r="AB101" s="191" t="s">
        <v>100</v>
      </c>
      <c r="AC101" s="8"/>
    </row>
    <row r="102" spans="1:29" ht="77.5" x14ac:dyDescent="0.35">
      <c r="A102" s="83" t="s">
        <v>134</v>
      </c>
      <c r="B102" s="83" t="s">
        <v>135</v>
      </c>
      <c r="C102" s="84" t="s">
        <v>213</v>
      </c>
      <c r="D102" s="92" t="s">
        <v>40</v>
      </c>
      <c r="E102" s="84"/>
      <c r="F102" s="84"/>
      <c r="G102" s="84"/>
      <c r="H102" s="83" t="s">
        <v>214</v>
      </c>
      <c r="I102" s="84" t="s">
        <v>138</v>
      </c>
      <c r="J102" s="83" t="s">
        <v>130</v>
      </c>
      <c r="K102" s="118" t="s">
        <v>75</v>
      </c>
      <c r="L102" s="118"/>
      <c r="M102" s="102" t="s">
        <v>131</v>
      </c>
      <c r="N102" s="103" t="s">
        <v>132</v>
      </c>
      <c r="O102" s="103" t="s">
        <v>132</v>
      </c>
      <c r="P102" s="103"/>
      <c r="Q102" s="110"/>
      <c r="R102" s="191" t="s">
        <v>45</v>
      </c>
      <c r="S102" s="110"/>
      <c r="T102" s="110"/>
      <c r="U102" s="110"/>
      <c r="V102" s="110"/>
      <c r="W102" s="110"/>
      <c r="X102" s="205" t="s">
        <v>45</v>
      </c>
      <c r="Y102" s="110"/>
      <c r="Z102" s="110"/>
      <c r="AA102" s="110"/>
      <c r="AB102" s="110"/>
      <c r="AC102" s="8"/>
    </row>
    <row r="103" spans="1:29" ht="31" x14ac:dyDescent="0.35">
      <c r="A103" s="83" t="s">
        <v>134</v>
      </c>
      <c r="B103" s="83" t="s">
        <v>135</v>
      </c>
      <c r="C103" s="84" t="s">
        <v>215</v>
      </c>
      <c r="D103" s="84"/>
      <c r="E103" s="119" t="s">
        <v>72</v>
      </c>
      <c r="F103" s="84"/>
      <c r="G103" s="119" t="s">
        <v>72</v>
      </c>
      <c r="H103" s="83" t="s">
        <v>216</v>
      </c>
      <c r="I103" s="84" t="s">
        <v>138</v>
      </c>
      <c r="J103" s="83" t="s">
        <v>105</v>
      </c>
      <c r="K103" s="83" t="s">
        <v>43</v>
      </c>
      <c r="L103" s="83"/>
      <c r="M103" s="83" t="s">
        <v>44</v>
      </c>
      <c r="N103" s="86">
        <v>380</v>
      </c>
      <c r="O103" s="86" t="s">
        <v>217</v>
      </c>
      <c r="P103" s="120"/>
      <c r="Q103" s="99"/>
      <c r="R103" s="99"/>
      <c r="S103" s="99"/>
      <c r="T103" s="99"/>
      <c r="U103" s="93" t="s">
        <v>86</v>
      </c>
      <c r="V103" s="87"/>
      <c r="W103" s="99"/>
      <c r="X103" s="99"/>
      <c r="Y103" s="99"/>
      <c r="Z103" s="99"/>
      <c r="AA103" s="99"/>
      <c r="AB103" s="99"/>
      <c r="AC103" s="10"/>
    </row>
    <row r="104" spans="1:29" ht="46.5" x14ac:dyDescent="0.35">
      <c r="A104" s="71" t="s">
        <v>218</v>
      </c>
      <c r="B104" s="72" t="s">
        <v>219</v>
      </c>
      <c r="C104" s="73" t="s">
        <v>220</v>
      </c>
      <c r="D104" s="74" t="s">
        <v>72</v>
      </c>
      <c r="E104" s="73"/>
      <c r="F104" s="73"/>
      <c r="G104" s="73"/>
      <c r="H104" s="148" t="s">
        <v>221</v>
      </c>
      <c r="I104" s="73" t="s">
        <v>222</v>
      </c>
      <c r="J104" s="72" t="s">
        <v>223</v>
      </c>
      <c r="K104" s="107" t="s">
        <v>75</v>
      </c>
      <c r="L104" s="88" t="s">
        <v>66</v>
      </c>
      <c r="M104" s="72" t="s">
        <v>67</v>
      </c>
      <c r="N104" s="111">
        <v>0</v>
      </c>
      <c r="O104" s="86">
        <v>0</v>
      </c>
      <c r="P104" s="111"/>
      <c r="Q104" s="77"/>
      <c r="R104" s="77"/>
      <c r="S104" s="77"/>
      <c r="T104" s="77"/>
      <c r="U104" s="77"/>
      <c r="V104" s="87"/>
      <c r="W104" s="193" t="s">
        <v>86</v>
      </c>
      <c r="X104" s="77"/>
      <c r="Y104" s="77"/>
      <c r="Z104" s="77"/>
      <c r="AA104" s="77"/>
      <c r="AB104" s="77"/>
      <c r="AC104" s="8" t="s">
        <v>224</v>
      </c>
    </row>
    <row r="105" spans="1:29" ht="46.5" x14ac:dyDescent="0.35">
      <c r="A105" s="71" t="s">
        <v>218</v>
      </c>
      <c r="B105" s="72" t="s">
        <v>219</v>
      </c>
      <c r="C105" s="73" t="s">
        <v>220</v>
      </c>
      <c r="D105" s="74"/>
      <c r="E105" s="73"/>
      <c r="F105" s="73"/>
      <c r="G105" s="73"/>
      <c r="H105" s="225" t="s">
        <v>225</v>
      </c>
      <c r="I105" s="73" t="s">
        <v>222</v>
      </c>
      <c r="J105" s="72" t="s">
        <v>43</v>
      </c>
      <c r="K105" s="107" t="s">
        <v>43</v>
      </c>
      <c r="L105" s="88" t="s">
        <v>66</v>
      </c>
      <c r="M105" s="72" t="s">
        <v>67</v>
      </c>
      <c r="N105" s="111">
        <v>0</v>
      </c>
      <c r="O105" s="86">
        <v>0</v>
      </c>
      <c r="P105" s="111"/>
      <c r="Q105" s="87"/>
      <c r="R105" s="87"/>
      <c r="S105" s="78" t="s">
        <v>226</v>
      </c>
      <c r="T105" s="87"/>
      <c r="U105" s="87"/>
      <c r="V105" s="78" t="s">
        <v>72</v>
      </c>
      <c r="W105" s="87"/>
      <c r="X105" s="87"/>
      <c r="Y105" s="78" t="s">
        <v>64</v>
      </c>
      <c r="Z105" s="87"/>
      <c r="AA105" s="87"/>
      <c r="AB105" s="78" t="s">
        <v>64</v>
      </c>
      <c r="AC105" s="8"/>
    </row>
    <row r="106" spans="1:29" s="2" customFormat="1" ht="31" x14ac:dyDescent="0.35">
      <c r="A106" s="79" t="s">
        <v>218</v>
      </c>
      <c r="B106" s="80" t="s">
        <v>219</v>
      </c>
      <c r="C106" s="80" t="s">
        <v>220</v>
      </c>
      <c r="D106" s="80"/>
      <c r="E106" s="80"/>
      <c r="F106" s="80"/>
      <c r="G106" s="80"/>
      <c r="H106" s="80" t="s">
        <v>227</v>
      </c>
      <c r="I106" s="80"/>
      <c r="J106" s="80"/>
      <c r="K106" s="80"/>
      <c r="L106" s="80"/>
      <c r="M106" s="80"/>
      <c r="N106" s="80"/>
      <c r="O106" s="81"/>
      <c r="P106" s="81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3"/>
    </row>
    <row r="107" spans="1:29" s="2" customFormat="1" ht="31" x14ac:dyDescent="0.35">
      <c r="A107" s="79" t="s">
        <v>218</v>
      </c>
      <c r="B107" s="80" t="s">
        <v>219</v>
      </c>
      <c r="C107" s="80" t="s">
        <v>220</v>
      </c>
      <c r="D107" s="80"/>
      <c r="E107" s="80"/>
      <c r="F107" s="80"/>
      <c r="G107" s="80"/>
      <c r="H107" s="80" t="s">
        <v>228</v>
      </c>
      <c r="I107" s="80"/>
      <c r="J107" s="80"/>
      <c r="K107" s="80"/>
      <c r="L107" s="80"/>
      <c r="M107" s="80"/>
      <c r="N107" s="80"/>
      <c r="O107" s="81"/>
      <c r="P107" s="81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3"/>
    </row>
    <row r="108" spans="1:29" s="2" customFormat="1" ht="31" x14ac:dyDescent="0.35">
      <c r="A108" s="79" t="s">
        <v>218</v>
      </c>
      <c r="B108" s="80" t="s">
        <v>219</v>
      </c>
      <c r="C108" s="80" t="s">
        <v>220</v>
      </c>
      <c r="D108" s="80"/>
      <c r="E108" s="80"/>
      <c r="F108" s="80"/>
      <c r="G108" s="80"/>
      <c r="H108" s="80" t="s">
        <v>229</v>
      </c>
      <c r="I108" s="80"/>
      <c r="J108" s="80"/>
      <c r="K108" s="80"/>
      <c r="L108" s="80"/>
      <c r="M108" s="80"/>
      <c r="N108" s="80"/>
      <c r="O108" s="81"/>
      <c r="P108" s="81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3"/>
    </row>
    <row r="109" spans="1:29" s="2" customFormat="1" ht="31" x14ac:dyDescent="0.35">
      <c r="A109" s="79" t="s">
        <v>218</v>
      </c>
      <c r="B109" s="80" t="s">
        <v>219</v>
      </c>
      <c r="C109" s="80" t="s">
        <v>220</v>
      </c>
      <c r="D109" s="80"/>
      <c r="E109" s="80"/>
      <c r="F109" s="80"/>
      <c r="G109" s="80"/>
      <c r="H109" s="80" t="s">
        <v>230</v>
      </c>
      <c r="I109" s="80"/>
      <c r="J109" s="80"/>
      <c r="K109" s="80"/>
      <c r="L109" s="80"/>
      <c r="M109" s="80"/>
      <c r="N109" s="80"/>
      <c r="O109" s="81"/>
      <c r="P109" s="81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3"/>
    </row>
    <row r="110" spans="1:29" s="2" customFormat="1" ht="31" x14ac:dyDescent="0.35">
      <c r="A110" s="79" t="s">
        <v>218</v>
      </c>
      <c r="B110" s="80" t="s">
        <v>219</v>
      </c>
      <c r="C110" s="80" t="s">
        <v>220</v>
      </c>
      <c r="D110" s="80"/>
      <c r="E110" s="80"/>
      <c r="F110" s="80"/>
      <c r="G110" s="80"/>
      <c r="H110" s="80" t="s">
        <v>231</v>
      </c>
      <c r="I110" s="80"/>
      <c r="J110" s="80"/>
      <c r="K110" s="80"/>
      <c r="L110" s="80"/>
      <c r="M110" s="80"/>
      <c r="N110" s="80"/>
      <c r="O110" s="81"/>
      <c r="P110" s="81"/>
      <c r="Q110" s="82"/>
      <c r="R110" s="82"/>
      <c r="S110" s="82"/>
      <c r="T110" s="82"/>
      <c r="U110" s="82"/>
      <c r="V110" s="82"/>
      <c r="W110" s="82"/>
      <c r="X110" s="82"/>
      <c r="Y110" s="82"/>
      <c r="Z110" s="82"/>
      <c r="AA110" s="82"/>
      <c r="AB110" s="82"/>
      <c r="AC110" s="3"/>
    </row>
    <row r="111" spans="1:29" s="2" customFormat="1" ht="31" x14ac:dyDescent="0.35">
      <c r="A111" s="79" t="s">
        <v>218</v>
      </c>
      <c r="B111" s="80" t="s">
        <v>219</v>
      </c>
      <c r="C111" s="80" t="s">
        <v>220</v>
      </c>
      <c r="D111" s="80"/>
      <c r="E111" s="80"/>
      <c r="F111" s="80"/>
      <c r="G111" s="80"/>
      <c r="H111" s="80" t="s">
        <v>232</v>
      </c>
      <c r="I111" s="80"/>
      <c r="J111" s="80"/>
      <c r="K111" s="80"/>
      <c r="L111" s="80"/>
      <c r="M111" s="80"/>
      <c r="N111" s="80"/>
      <c r="O111" s="81"/>
      <c r="P111" s="81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3"/>
    </row>
    <row r="112" spans="1:29" s="2" customFormat="1" ht="31" x14ac:dyDescent="0.35">
      <c r="A112" s="79" t="s">
        <v>218</v>
      </c>
      <c r="B112" s="80" t="s">
        <v>219</v>
      </c>
      <c r="C112" s="80" t="s">
        <v>220</v>
      </c>
      <c r="D112" s="80"/>
      <c r="E112" s="80"/>
      <c r="F112" s="80"/>
      <c r="G112" s="80"/>
      <c r="H112" s="80" t="s">
        <v>233</v>
      </c>
      <c r="I112" s="80"/>
      <c r="J112" s="80"/>
      <c r="K112" s="80"/>
      <c r="L112" s="80"/>
      <c r="M112" s="80"/>
      <c r="N112" s="80"/>
      <c r="O112" s="81"/>
      <c r="P112" s="81"/>
      <c r="Q112" s="82"/>
      <c r="R112" s="82"/>
      <c r="S112" s="82"/>
      <c r="T112" s="82"/>
      <c r="U112" s="82"/>
      <c r="V112" s="82"/>
      <c r="W112" s="82"/>
      <c r="X112" s="82"/>
      <c r="Y112" s="82"/>
      <c r="Z112" s="82"/>
      <c r="AA112" s="82"/>
      <c r="AB112" s="82"/>
      <c r="AC112" s="3"/>
    </row>
    <row r="113" spans="1:29" s="2" customFormat="1" ht="31" x14ac:dyDescent="0.35">
      <c r="A113" s="79" t="s">
        <v>218</v>
      </c>
      <c r="B113" s="80" t="s">
        <v>219</v>
      </c>
      <c r="C113" s="80" t="s">
        <v>220</v>
      </c>
      <c r="D113" s="80"/>
      <c r="E113" s="80"/>
      <c r="F113" s="80"/>
      <c r="G113" s="80"/>
      <c r="H113" s="80" t="s">
        <v>234</v>
      </c>
      <c r="I113" s="80"/>
      <c r="J113" s="80"/>
      <c r="K113" s="80"/>
      <c r="L113" s="80"/>
      <c r="M113" s="80"/>
      <c r="N113" s="80"/>
      <c r="O113" s="81"/>
      <c r="P113" s="81"/>
      <c r="Q113" s="82"/>
      <c r="R113" s="82"/>
      <c r="S113" s="82"/>
      <c r="T113" s="82"/>
      <c r="U113" s="82"/>
      <c r="V113" s="82"/>
      <c r="W113" s="82"/>
      <c r="X113" s="82"/>
      <c r="Y113" s="82"/>
      <c r="Z113" s="82"/>
      <c r="AA113" s="82"/>
      <c r="AB113" s="82"/>
      <c r="AC113" s="3"/>
    </row>
    <row r="114" spans="1:29" s="2" customFormat="1" ht="31" x14ac:dyDescent="0.35">
      <c r="A114" s="79" t="s">
        <v>218</v>
      </c>
      <c r="B114" s="80" t="s">
        <v>219</v>
      </c>
      <c r="C114" s="80" t="s">
        <v>220</v>
      </c>
      <c r="D114" s="80"/>
      <c r="E114" s="80"/>
      <c r="F114" s="80"/>
      <c r="G114" s="80"/>
      <c r="H114" s="80" t="s">
        <v>235</v>
      </c>
      <c r="I114" s="80"/>
      <c r="J114" s="80"/>
      <c r="K114" s="80"/>
      <c r="L114" s="80"/>
      <c r="M114" s="80"/>
      <c r="N114" s="80"/>
      <c r="O114" s="81"/>
      <c r="P114" s="81"/>
      <c r="Q114" s="82"/>
      <c r="R114" s="82"/>
      <c r="S114" s="82"/>
      <c r="T114" s="82"/>
      <c r="U114" s="82"/>
      <c r="V114" s="82"/>
      <c r="W114" s="82"/>
      <c r="X114" s="82"/>
      <c r="Y114" s="82"/>
      <c r="Z114" s="82"/>
      <c r="AA114" s="82"/>
      <c r="AB114" s="82"/>
      <c r="AC114" s="3"/>
    </row>
    <row r="115" spans="1:29" s="2" customFormat="1" ht="31" x14ac:dyDescent="0.35">
      <c r="A115" s="79" t="s">
        <v>218</v>
      </c>
      <c r="B115" s="80" t="s">
        <v>219</v>
      </c>
      <c r="C115" s="80" t="s">
        <v>220</v>
      </c>
      <c r="D115" s="80"/>
      <c r="E115" s="80"/>
      <c r="F115" s="80"/>
      <c r="G115" s="80"/>
      <c r="H115" s="80" t="s">
        <v>236</v>
      </c>
      <c r="I115" s="80"/>
      <c r="J115" s="80"/>
      <c r="K115" s="80"/>
      <c r="L115" s="80"/>
      <c r="M115" s="80"/>
      <c r="N115" s="80"/>
      <c r="O115" s="81"/>
      <c r="P115" s="81"/>
      <c r="Q115" s="82"/>
      <c r="R115" s="82"/>
      <c r="S115" s="82"/>
      <c r="T115" s="82"/>
      <c r="U115" s="82"/>
      <c r="V115" s="82"/>
      <c r="W115" s="82"/>
      <c r="X115" s="82"/>
      <c r="Y115" s="82"/>
      <c r="Z115" s="82"/>
      <c r="AA115" s="82"/>
      <c r="AB115" s="82"/>
      <c r="AC115" s="3"/>
    </row>
    <row r="116" spans="1:29" s="2" customFormat="1" ht="31" x14ac:dyDescent="0.35">
      <c r="A116" s="79" t="s">
        <v>218</v>
      </c>
      <c r="B116" s="80" t="s">
        <v>219</v>
      </c>
      <c r="C116" s="80" t="s">
        <v>220</v>
      </c>
      <c r="D116" s="80"/>
      <c r="E116" s="80"/>
      <c r="F116" s="80"/>
      <c r="G116" s="80"/>
      <c r="H116" s="80" t="s">
        <v>237</v>
      </c>
      <c r="I116" s="80"/>
      <c r="J116" s="80"/>
      <c r="K116" s="80"/>
      <c r="L116" s="80"/>
      <c r="M116" s="80"/>
      <c r="N116" s="80"/>
      <c r="O116" s="81"/>
      <c r="P116" s="81"/>
      <c r="Q116" s="82"/>
      <c r="R116" s="82"/>
      <c r="S116" s="82"/>
      <c r="T116" s="82"/>
      <c r="U116" s="82"/>
      <c r="V116" s="82"/>
      <c r="W116" s="82"/>
      <c r="X116" s="82"/>
      <c r="Y116" s="82"/>
      <c r="Z116" s="82"/>
      <c r="AA116" s="82"/>
      <c r="AB116" s="82"/>
      <c r="AC116" s="3"/>
    </row>
    <row r="117" spans="1:29" ht="46.5" x14ac:dyDescent="0.35">
      <c r="A117" s="71" t="s">
        <v>218</v>
      </c>
      <c r="B117" s="83" t="s">
        <v>219</v>
      </c>
      <c r="C117" s="84" t="s">
        <v>238</v>
      </c>
      <c r="D117" s="89" t="s">
        <v>72</v>
      </c>
      <c r="E117" s="84"/>
      <c r="F117" s="84"/>
      <c r="G117" s="84"/>
      <c r="H117" s="83" t="s">
        <v>137</v>
      </c>
      <c r="I117" s="84" t="s">
        <v>222</v>
      </c>
      <c r="J117" s="83" t="s">
        <v>43</v>
      </c>
      <c r="K117" s="83" t="s">
        <v>43</v>
      </c>
      <c r="L117" s="83"/>
      <c r="M117" s="83" t="s">
        <v>44</v>
      </c>
      <c r="N117" s="86">
        <v>744.48</v>
      </c>
      <c r="O117" s="76">
        <v>3240</v>
      </c>
      <c r="P117" s="111"/>
      <c r="Q117" s="87"/>
      <c r="R117" s="87"/>
      <c r="S117" s="87"/>
      <c r="T117" s="87"/>
      <c r="U117" s="87"/>
      <c r="V117" s="87"/>
      <c r="W117" s="93" t="s">
        <v>86</v>
      </c>
      <c r="X117" s="87"/>
      <c r="Y117" s="87"/>
      <c r="Z117" s="87"/>
      <c r="AA117" s="87"/>
      <c r="AB117" s="87"/>
      <c r="AC117" s="8"/>
    </row>
    <row r="118" spans="1:29" s="2" customFormat="1" ht="31" x14ac:dyDescent="0.35">
      <c r="A118" s="79" t="s">
        <v>218</v>
      </c>
      <c r="B118" s="80" t="s">
        <v>219</v>
      </c>
      <c r="C118" s="80" t="s">
        <v>238</v>
      </c>
      <c r="D118" s="80"/>
      <c r="E118" s="80"/>
      <c r="F118" s="80"/>
      <c r="G118" s="80"/>
      <c r="H118" s="80" t="s">
        <v>239</v>
      </c>
      <c r="I118" s="80"/>
      <c r="J118" s="80"/>
      <c r="K118" s="80"/>
      <c r="L118" s="80"/>
      <c r="M118" s="80"/>
      <c r="N118" s="80"/>
      <c r="O118" s="81"/>
      <c r="P118" s="81"/>
      <c r="Q118" s="82"/>
      <c r="R118" s="82"/>
      <c r="S118" s="82"/>
      <c r="T118" s="82"/>
      <c r="U118" s="82"/>
      <c r="V118" s="82"/>
      <c r="W118" s="82"/>
      <c r="X118" s="82"/>
      <c r="Y118" s="82"/>
      <c r="Z118" s="82"/>
      <c r="AA118" s="82"/>
      <c r="AB118" s="82"/>
      <c r="AC118" s="3"/>
    </row>
    <row r="119" spans="1:29" s="2" customFormat="1" ht="31" x14ac:dyDescent="0.35">
      <c r="A119" s="79" t="s">
        <v>218</v>
      </c>
      <c r="B119" s="80" t="s">
        <v>219</v>
      </c>
      <c r="C119" s="80" t="s">
        <v>238</v>
      </c>
      <c r="D119" s="80"/>
      <c r="E119" s="80"/>
      <c r="F119" s="80"/>
      <c r="G119" s="80"/>
      <c r="H119" s="80" t="s">
        <v>240</v>
      </c>
      <c r="I119" s="80"/>
      <c r="J119" s="80"/>
      <c r="K119" s="80"/>
      <c r="L119" s="80"/>
      <c r="M119" s="80"/>
      <c r="N119" s="80"/>
      <c r="O119" s="81"/>
      <c r="P119" s="81"/>
      <c r="Q119" s="82"/>
      <c r="R119" s="82"/>
      <c r="S119" s="82"/>
      <c r="T119" s="82"/>
      <c r="U119" s="82"/>
      <c r="V119" s="82"/>
      <c r="W119" s="82"/>
      <c r="X119" s="82"/>
      <c r="Y119" s="82"/>
      <c r="Z119" s="82"/>
      <c r="AA119" s="82"/>
      <c r="AB119" s="82"/>
      <c r="AC119" s="3"/>
    </row>
    <row r="120" spans="1:29" s="2" customFormat="1" ht="31" x14ac:dyDescent="0.35">
      <c r="A120" s="79" t="s">
        <v>218</v>
      </c>
      <c r="B120" s="80" t="s">
        <v>219</v>
      </c>
      <c r="C120" s="80" t="s">
        <v>238</v>
      </c>
      <c r="D120" s="80"/>
      <c r="E120" s="80"/>
      <c r="F120" s="80"/>
      <c r="G120" s="80"/>
      <c r="H120" s="80" t="s">
        <v>241</v>
      </c>
      <c r="I120" s="80"/>
      <c r="J120" s="80"/>
      <c r="K120" s="80"/>
      <c r="L120" s="80"/>
      <c r="M120" s="80"/>
      <c r="N120" s="80"/>
      <c r="O120" s="81"/>
      <c r="P120" s="81"/>
      <c r="Q120" s="82"/>
      <c r="R120" s="82"/>
      <c r="S120" s="82"/>
      <c r="T120" s="82"/>
      <c r="U120" s="82"/>
      <c r="V120" s="82"/>
      <c r="W120" s="82"/>
      <c r="X120" s="82"/>
      <c r="Y120" s="82"/>
      <c r="Z120" s="82"/>
      <c r="AA120" s="82"/>
      <c r="AB120" s="82"/>
      <c r="AC120" s="3"/>
    </row>
    <row r="121" spans="1:29" s="2" customFormat="1" ht="31" x14ac:dyDescent="0.35">
      <c r="A121" s="79" t="s">
        <v>218</v>
      </c>
      <c r="B121" s="80" t="s">
        <v>219</v>
      </c>
      <c r="C121" s="80" t="s">
        <v>238</v>
      </c>
      <c r="D121" s="80"/>
      <c r="E121" s="80"/>
      <c r="F121" s="80"/>
      <c r="G121" s="80"/>
      <c r="H121" s="80" t="s">
        <v>242</v>
      </c>
      <c r="I121" s="80"/>
      <c r="J121" s="80"/>
      <c r="K121" s="80"/>
      <c r="L121" s="80"/>
      <c r="M121" s="80"/>
      <c r="N121" s="80"/>
      <c r="O121" s="81"/>
      <c r="P121" s="81"/>
      <c r="Q121" s="82"/>
      <c r="R121" s="82"/>
      <c r="S121" s="82"/>
      <c r="T121" s="82"/>
      <c r="U121" s="82"/>
      <c r="V121" s="82"/>
      <c r="W121" s="82"/>
      <c r="X121" s="82"/>
      <c r="Y121" s="82"/>
      <c r="Z121" s="82"/>
      <c r="AA121" s="82"/>
      <c r="AB121" s="82"/>
      <c r="AC121" s="3"/>
    </row>
    <row r="122" spans="1:29" s="2" customFormat="1" ht="31" x14ac:dyDescent="0.35">
      <c r="A122" s="79" t="s">
        <v>218</v>
      </c>
      <c r="B122" s="80" t="s">
        <v>219</v>
      </c>
      <c r="C122" s="80" t="s">
        <v>238</v>
      </c>
      <c r="D122" s="80"/>
      <c r="E122" s="80"/>
      <c r="F122" s="80"/>
      <c r="G122" s="80"/>
      <c r="H122" s="80" t="s">
        <v>243</v>
      </c>
      <c r="I122" s="80"/>
      <c r="J122" s="80"/>
      <c r="K122" s="80"/>
      <c r="L122" s="80"/>
      <c r="M122" s="80"/>
      <c r="N122" s="80"/>
      <c r="O122" s="81"/>
      <c r="P122" s="81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3"/>
    </row>
    <row r="123" spans="1:29" s="2" customFormat="1" ht="31" x14ac:dyDescent="0.35">
      <c r="A123" s="79" t="s">
        <v>218</v>
      </c>
      <c r="B123" s="80" t="s">
        <v>219</v>
      </c>
      <c r="C123" s="80" t="s">
        <v>238</v>
      </c>
      <c r="D123" s="80"/>
      <c r="E123" s="80"/>
      <c r="F123" s="80"/>
      <c r="G123" s="80"/>
      <c r="H123" s="80" t="s">
        <v>244</v>
      </c>
      <c r="I123" s="80"/>
      <c r="J123" s="80"/>
      <c r="K123" s="80"/>
      <c r="L123" s="80"/>
      <c r="M123" s="80"/>
      <c r="N123" s="80"/>
      <c r="O123" s="81"/>
      <c r="P123" s="81"/>
      <c r="Q123" s="82"/>
      <c r="R123" s="82"/>
      <c r="S123" s="82"/>
      <c r="T123" s="82"/>
      <c r="U123" s="82"/>
      <c r="V123" s="82"/>
      <c r="W123" s="82"/>
      <c r="X123" s="82"/>
      <c r="Y123" s="82"/>
      <c r="Z123" s="82"/>
      <c r="AA123" s="82"/>
      <c r="AB123" s="82"/>
      <c r="AC123" s="3"/>
    </row>
    <row r="124" spans="1:29" s="2" customFormat="1" ht="31" x14ac:dyDescent="0.35">
      <c r="A124" s="79" t="s">
        <v>218</v>
      </c>
      <c r="B124" s="80" t="s">
        <v>219</v>
      </c>
      <c r="C124" s="80" t="s">
        <v>238</v>
      </c>
      <c r="D124" s="80"/>
      <c r="E124" s="80"/>
      <c r="F124" s="80"/>
      <c r="G124" s="80"/>
      <c r="H124" s="80" t="s">
        <v>245</v>
      </c>
      <c r="I124" s="80"/>
      <c r="J124" s="80"/>
      <c r="K124" s="80"/>
      <c r="L124" s="80"/>
      <c r="M124" s="80"/>
      <c r="N124" s="80"/>
      <c r="O124" s="81"/>
      <c r="P124" s="81"/>
      <c r="Q124" s="82"/>
      <c r="R124" s="82"/>
      <c r="S124" s="82"/>
      <c r="T124" s="82"/>
      <c r="U124" s="82"/>
      <c r="V124" s="82"/>
      <c r="W124" s="82"/>
      <c r="X124" s="82"/>
      <c r="Y124" s="82"/>
      <c r="Z124" s="82"/>
      <c r="AA124" s="82"/>
      <c r="AB124" s="82"/>
      <c r="AC124" s="3"/>
    </row>
    <row r="125" spans="1:29" s="2" customFormat="1" ht="31" x14ac:dyDescent="0.35">
      <c r="A125" s="79" t="s">
        <v>218</v>
      </c>
      <c r="B125" s="80" t="s">
        <v>219</v>
      </c>
      <c r="C125" s="80" t="s">
        <v>238</v>
      </c>
      <c r="D125" s="80"/>
      <c r="E125" s="80"/>
      <c r="F125" s="80"/>
      <c r="G125" s="80"/>
      <c r="H125" s="80" t="s">
        <v>246</v>
      </c>
      <c r="I125" s="80"/>
      <c r="J125" s="80"/>
      <c r="K125" s="80"/>
      <c r="L125" s="80"/>
      <c r="M125" s="80"/>
      <c r="N125" s="80"/>
      <c r="O125" s="81"/>
      <c r="P125" s="81"/>
      <c r="Q125" s="82"/>
      <c r="R125" s="82"/>
      <c r="S125" s="82"/>
      <c r="T125" s="82"/>
      <c r="U125" s="82"/>
      <c r="V125" s="82"/>
      <c r="W125" s="82"/>
      <c r="X125" s="82"/>
      <c r="Y125" s="82"/>
      <c r="Z125" s="82"/>
      <c r="AA125" s="82"/>
      <c r="AB125" s="82"/>
      <c r="AC125" s="3"/>
    </row>
    <row r="126" spans="1:29" s="2" customFormat="1" ht="31" x14ac:dyDescent="0.35">
      <c r="A126" s="79" t="s">
        <v>218</v>
      </c>
      <c r="B126" s="80" t="s">
        <v>219</v>
      </c>
      <c r="C126" s="80" t="s">
        <v>238</v>
      </c>
      <c r="D126" s="80"/>
      <c r="E126" s="80"/>
      <c r="F126" s="80"/>
      <c r="G126" s="80"/>
      <c r="H126" s="80" t="s">
        <v>247</v>
      </c>
      <c r="I126" s="80"/>
      <c r="J126" s="80"/>
      <c r="K126" s="80"/>
      <c r="L126" s="80"/>
      <c r="M126" s="80"/>
      <c r="N126" s="80"/>
      <c r="O126" s="81"/>
      <c r="P126" s="81"/>
      <c r="Q126" s="82"/>
      <c r="R126" s="82"/>
      <c r="S126" s="82"/>
      <c r="T126" s="82"/>
      <c r="U126" s="82"/>
      <c r="V126" s="82"/>
      <c r="W126" s="82"/>
      <c r="X126" s="82"/>
      <c r="Y126" s="82"/>
      <c r="Z126" s="82"/>
      <c r="AA126" s="82"/>
      <c r="AB126" s="82"/>
      <c r="AC126" s="3"/>
    </row>
    <row r="127" spans="1:29" s="2" customFormat="1" ht="31" x14ac:dyDescent="0.35">
      <c r="A127" s="79" t="s">
        <v>218</v>
      </c>
      <c r="B127" s="80" t="s">
        <v>219</v>
      </c>
      <c r="C127" s="80" t="s">
        <v>238</v>
      </c>
      <c r="D127" s="80"/>
      <c r="E127" s="80"/>
      <c r="F127" s="80"/>
      <c r="G127" s="80"/>
      <c r="H127" s="80" t="s">
        <v>248</v>
      </c>
      <c r="I127" s="80"/>
      <c r="J127" s="80"/>
      <c r="K127" s="80"/>
      <c r="L127" s="80"/>
      <c r="M127" s="80"/>
      <c r="N127" s="80"/>
      <c r="O127" s="81"/>
      <c r="P127" s="81"/>
      <c r="Q127" s="82"/>
      <c r="R127" s="82"/>
      <c r="S127" s="82"/>
      <c r="T127" s="82"/>
      <c r="U127" s="82"/>
      <c r="V127" s="82"/>
      <c r="W127" s="82"/>
      <c r="X127" s="82"/>
      <c r="Y127" s="82"/>
      <c r="Z127" s="82"/>
      <c r="AA127" s="82"/>
      <c r="AB127" s="82"/>
      <c r="AC127" s="3"/>
    </row>
    <row r="128" spans="1:29" s="2" customFormat="1" ht="31" x14ac:dyDescent="0.35">
      <c r="A128" s="79" t="s">
        <v>218</v>
      </c>
      <c r="B128" s="80" t="s">
        <v>219</v>
      </c>
      <c r="C128" s="80" t="s">
        <v>238</v>
      </c>
      <c r="D128" s="80"/>
      <c r="E128" s="80"/>
      <c r="F128" s="80"/>
      <c r="G128" s="80"/>
      <c r="H128" s="80" t="s">
        <v>249</v>
      </c>
      <c r="I128" s="80"/>
      <c r="J128" s="80"/>
      <c r="K128" s="80"/>
      <c r="L128" s="80"/>
      <c r="M128" s="80"/>
      <c r="N128" s="80"/>
      <c r="O128" s="81"/>
      <c r="P128" s="81"/>
      <c r="Q128" s="82"/>
      <c r="R128" s="82"/>
      <c r="S128" s="82"/>
      <c r="T128" s="82"/>
      <c r="U128" s="82"/>
      <c r="V128" s="82"/>
      <c r="W128" s="82"/>
      <c r="X128" s="82"/>
      <c r="Y128" s="82"/>
      <c r="Z128" s="82"/>
      <c r="AA128" s="82"/>
      <c r="AB128" s="82"/>
      <c r="AC128" s="3"/>
    </row>
    <row r="129" spans="1:29" s="2" customFormat="1" ht="31" x14ac:dyDescent="0.35">
      <c r="A129" s="79" t="s">
        <v>218</v>
      </c>
      <c r="B129" s="80" t="s">
        <v>219</v>
      </c>
      <c r="C129" s="80" t="s">
        <v>238</v>
      </c>
      <c r="D129" s="80"/>
      <c r="E129" s="80"/>
      <c r="F129" s="80"/>
      <c r="G129" s="80"/>
      <c r="H129" s="80" t="s">
        <v>250</v>
      </c>
      <c r="I129" s="80"/>
      <c r="J129" s="80"/>
      <c r="K129" s="80"/>
      <c r="L129" s="80"/>
      <c r="M129" s="80"/>
      <c r="N129" s="80"/>
      <c r="O129" s="81"/>
      <c r="P129" s="81"/>
      <c r="Q129" s="82"/>
      <c r="R129" s="82"/>
      <c r="S129" s="82"/>
      <c r="T129" s="82"/>
      <c r="U129" s="82"/>
      <c r="V129" s="82"/>
      <c r="W129" s="82"/>
      <c r="X129" s="82"/>
      <c r="Y129" s="82"/>
      <c r="Z129" s="82"/>
      <c r="AA129" s="82"/>
      <c r="AB129" s="82"/>
      <c r="AC129" s="3"/>
    </row>
    <row r="130" spans="1:29" s="2" customFormat="1" ht="31" x14ac:dyDescent="0.35">
      <c r="A130" s="79" t="s">
        <v>218</v>
      </c>
      <c r="B130" s="80" t="s">
        <v>219</v>
      </c>
      <c r="C130" s="80" t="s">
        <v>238</v>
      </c>
      <c r="D130" s="80"/>
      <c r="E130" s="80"/>
      <c r="F130" s="80"/>
      <c r="G130" s="80"/>
      <c r="H130" s="80" t="s">
        <v>251</v>
      </c>
      <c r="I130" s="80"/>
      <c r="J130" s="80"/>
      <c r="K130" s="80"/>
      <c r="L130" s="80"/>
      <c r="M130" s="80"/>
      <c r="N130" s="80"/>
      <c r="O130" s="81"/>
      <c r="P130" s="81"/>
      <c r="Q130" s="82"/>
      <c r="R130" s="82"/>
      <c r="S130" s="82"/>
      <c r="T130" s="82"/>
      <c r="U130" s="82"/>
      <c r="V130" s="82"/>
      <c r="W130" s="82"/>
      <c r="X130" s="82"/>
      <c r="Y130" s="82"/>
      <c r="Z130" s="82"/>
      <c r="AA130" s="82"/>
      <c r="AB130" s="82"/>
      <c r="AC130" s="3"/>
    </row>
    <row r="131" spans="1:29" s="2" customFormat="1" ht="31" x14ac:dyDescent="0.35">
      <c r="A131" s="79" t="s">
        <v>218</v>
      </c>
      <c r="B131" s="80" t="s">
        <v>219</v>
      </c>
      <c r="C131" s="80" t="s">
        <v>238</v>
      </c>
      <c r="D131" s="80"/>
      <c r="E131" s="80"/>
      <c r="F131" s="80"/>
      <c r="G131" s="80"/>
      <c r="H131" s="80" t="s">
        <v>252</v>
      </c>
      <c r="I131" s="80"/>
      <c r="J131" s="80"/>
      <c r="K131" s="80"/>
      <c r="L131" s="80"/>
      <c r="M131" s="80"/>
      <c r="N131" s="80"/>
      <c r="O131" s="81"/>
      <c r="P131" s="81"/>
      <c r="Q131" s="82"/>
      <c r="R131" s="82"/>
      <c r="S131" s="82"/>
      <c r="T131" s="82"/>
      <c r="U131" s="82"/>
      <c r="V131" s="82"/>
      <c r="W131" s="82"/>
      <c r="X131" s="82"/>
      <c r="Y131" s="82"/>
      <c r="Z131" s="82"/>
      <c r="AA131" s="82"/>
      <c r="AB131" s="82"/>
      <c r="AC131" s="3"/>
    </row>
    <row r="132" spans="1:29" s="2" customFormat="1" ht="31" x14ac:dyDescent="0.35">
      <c r="A132" s="79" t="s">
        <v>218</v>
      </c>
      <c r="B132" s="80" t="s">
        <v>219</v>
      </c>
      <c r="C132" s="80" t="s">
        <v>238</v>
      </c>
      <c r="D132" s="80"/>
      <c r="E132" s="80"/>
      <c r="F132" s="80"/>
      <c r="G132" s="80"/>
      <c r="H132" s="80" t="s">
        <v>253</v>
      </c>
      <c r="I132" s="80"/>
      <c r="J132" s="80"/>
      <c r="K132" s="80"/>
      <c r="L132" s="80"/>
      <c r="M132" s="80"/>
      <c r="N132" s="80"/>
      <c r="O132" s="81"/>
      <c r="P132" s="81"/>
      <c r="Q132" s="82"/>
      <c r="R132" s="82"/>
      <c r="S132" s="82"/>
      <c r="T132" s="82"/>
      <c r="U132" s="82"/>
      <c r="V132" s="82"/>
      <c r="W132" s="82"/>
      <c r="X132" s="82"/>
      <c r="Y132" s="82"/>
      <c r="Z132" s="82"/>
      <c r="AA132" s="82"/>
      <c r="AB132" s="82"/>
      <c r="AC132" s="3"/>
    </row>
    <row r="133" spans="1:29" s="2" customFormat="1" ht="31" x14ac:dyDescent="0.35">
      <c r="A133" s="79" t="s">
        <v>218</v>
      </c>
      <c r="B133" s="80" t="s">
        <v>219</v>
      </c>
      <c r="C133" s="80" t="s">
        <v>238</v>
      </c>
      <c r="D133" s="80"/>
      <c r="E133" s="80"/>
      <c r="F133" s="80"/>
      <c r="G133" s="80"/>
      <c r="H133" s="80" t="s">
        <v>254</v>
      </c>
      <c r="I133" s="80"/>
      <c r="J133" s="80"/>
      <c r="K133" s="80"/>
      <c r="L133" s="80"/>
      <c r="M133" s="80"/>
      <c r="N133" s="80"/>
      <c r="O133" s="81"/>
      <c r="P133" s="81"/>
      <c r="Q133" s="82"/>
      <c r="R133" s="82"/>
      <c r="S133" s="82"/>
      <c r="T133" s="82"/>
      <c r="U133" s="82"/>
      <c r="V133" s="82"/>
      <c r="W133" s="82"/>
      <c r="X133" s="82"/>
      <c r="Y133" s="82"/>
      <c r="Z133" s="82"/>
      <c r="AA133" s="82"/>
      <c r="AB133" s="82"/>
      <c r="AC133" s="3"/>
    </row>
    <row r="134" spans="1:29" s="2" customFormat="1" ht="31" x14ac:dyDescent="0.35">
      <c r="A134" s="79" t="s">
        <v>218</v>
      </c>
      <c r="B134" s="80" t="s">
        <v>219</v>
      </c>
      <c r="C134" s="80" t="s">
        <v>238</v>
      </c>
      <c r="D134" s="80"/>
      <c r="E134" s="80"/>
      <c r="F134" s="80"/>
      <c r="G134" s="80"/>
      <c r="H134" s="80" t="s">
        <v>255</v>
      </c>
      <c r="I134" s="80"/>
      <c r="J134" s="80"/>
      <c r="K134" s="80"/>
      <c r="L134" s="80"/>
      <c r="M134" s="80"/>
      <c r="N134" s="80"/>
      <c r="O134" s="81"/>
      <c r="P134" s="81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3"/>
    </row>
    <row r="135" spans="1:29" s="2" customFormat="1" ht="31" x14ac:dyDescent="0.35">
      <c r="A135" s="79" t="s">
        <v>218</v>
      </c>
      <c r="B135" s="80" t="s">
        <v>219</v>
      </c>
      <c r="C135" s="80" t="s">
        <v>238</v>
      </c>
      <c r="D135" s="80"/>
      <c r="E135" s="80"/>
      <c r="F135" s="80"/>
      <c r="G135" s="80"/>
      <c r="H135" s="80" t="s">
        <v>256</v>
      </c>
      <c r="I135" s="80"/>
      <c r="J135" s="80"/>
      <c r="K135" s="80"/>
      <c r="L135" s="80"/>
      <c r="M135" s="80"/>
      <c r="N135" s="80"/>
      <c r="O135" s="81"/>
      <c r="P135" s="81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3"/>
    </row>
    <row r="136" spans="1:29" ht="46.5" x14ac:dyDescent="0.35">
      <c r="A136" s="71" t="s">
        <v>218</v>
      </c>
      <c r="B136" s="83" t="s">
        <v>219</v>
      </c>
      <c r="C136" s="84" t="s">
        <v>257</v>
      </c>
      <c r="D136" s="89" t="s">
        <v>72</v>
      </c>
      <c r="E136" s="84"/>
      <c r="F136" s="84"/>
      <c r="G136" s="84"/>
      <c r="H136" s="83" t="s">
        <v>258</v>
      </c>
      <c r="I136" s="84" t="s">
        <v>222</v>
      </c>
      <c r="J136" s="83" t="s">
        <v>43</v>
      </c>
      <c r="K136" s="83" t="s">
        <v>43</v>
      </c>
      <c r="L136" s="83"/>
      <c r="M136" s="83" t="s">
        <v>44</v>
      </c>
      <c r="N136" s="86">
        <v>372.24</v>
      </c>
      <c r="O136" s="76">
        <v>1020</v>
      </c>
      <c r="P136" s="111"/>
      <c r="Q136" s="87"/>
      <c r="R136" s="87"/>
      <c r="S136" s="87"/>
      <c r="T136" s="87"/>
      <c r="U136" s="87"/>
      <c r="V136" s="87"/>
      <c r="W136" s="93" t="s">
        <v>86</v>
      </c>
      <c r="X136" s="87"/>
      <c r="Y136" s="87"/>
      <c r="Z136" s="87"/>
      <c r="AA136" s="87"/>
      <c r="AB136" s="87"/>
      <c r="AC136" s="8"/>
    </row>
    <row r="137" spans="1:29" s="2" customFormat="1" ht="31" x14ac:dyDescent="0.35">
      <c r="A137" s="79" t="s">
        <v>218</v>
      </c>
      <c r="B137" s="80" t="s">
        <v>219</v>
      </c>
      <c r="C137" s="80" t="s">
        <v>257</v>
      </c>
      <c r="D137" s="80"/>
      <c r="E137" s="80"/>
      <c r="F137" s="80"/>
      <c r="G137" s="80"/>
      <c r="H137" s="80" t="s">
        <v>259</v>
      </c>
      <c r="I137" s="80"/>
      <c r="J137" s="80"/>
      <c r="K137" s="80"/>
      <c r="L137" s="80"/>
      <c r="M137" s="80"/>
      <c r="N137" s="80"/>
      <c r="O137" s="81"/>
      <c r="P137" s="81"/>
      <c r="Q137" s="82"/>
      <c r="R137" s="82"/>
      <c r="S137" s="82"/>
      <c r="T137" s="82"/>
      <c r="U137" s="82"/>
      <c r="V137" s="82"/>
      <c r="W137" s="82"/>
      <c r="X137" s="82"/>
      <c r="Y137" s="82"/>
      <c r="Z137" s="82"/>
      <c r="AA137" s="82"/>
      <c r="AB137" s="82"/>
      <c r="AC137" s="3"/>
    </row>
    <row r="138" spans="1:29" s="2" customFormat="1" ht="31" x14ac:dyDescent="0.35">
      <c r="A138" s="79" t="s">
        <v>218</v>
      </c>
      <c r="B138" s="80" t="s">
        <v>219</v>
      </c>
      <c r="C138" s="80" t="s">
        <v>257</v>
      </c>
      <c r="D138" s="80"/>
      <c r="E138" s="80"/>
      <c r="F138" s="80"/>
      <c r="G138" s="80"/>
      <c r="H138" s="80" t="s">
        <v>260</v>
      </c>
      <c r="I138" s="80"/>
      <c r="J138" s="80"/>
      <c r="K138" s="80"/>
      <c r="L138" s="80"/>
      <c r="M138" s="80"/>
      <c r="N138" s="80"/>
      <c r="O138" s="81"/>
      <c r="P138" s="81"/>
      <c r="Q138" s="82"/>
      <c r="R138" s="82"/>
      <c r="S138" s="82"/>
      <c r="T138" s="82"/>
      <c r="U138" s="82"/>
      <c r="V138" s="82"/>
      <c r="W138" s="82"/>
      <c r="X138" s="82"/>
      <c r="Y138" s="82"/>
      <c r="Z138" s="82"/>
      <c r="AA138" s="82"/>
      <c r="AB138" s="82"/>
      <c r="AC138" s="3"/>
    </row>
    <row r="139" spans="1:29" s="2" customFormat="1" ht="31" x14ac:dyDescent="0.35">
      <c r="A139" s="79" t="s">
        <v>218</v>
      </c>
      <c r="B139" s="80" t="s">
        <v>219</v>
      </c>
      <c r="C139" s="80" t="s">
        <v>257</v>
      </c>
      <c r="D139" s="80"/>
      <c r="E139" s="80"/>
      <c r="F139" s="80"/>
      <c r="G139" s="80"/>
      <c r="H139" s="80" t="s">
        <v>261</v>
      </c>
      <c r="I139" s="80"/>
      <c r="J139" s="80"/>
      <c r="K139" s="80"/>
      <c r="L139" s="80"/>
      <c r="M139" s="80"/>
      <c r="N139" s="80"/>
      <c r="O139" s="81"/>
      <c r="P139" s="81"/>
      <c r="Q139" s="82"/>
      <c r="R139" s="82"/>
      <c r="S139" s="82"/>
      <c r="T139" s="82"/>
      <c r="U139" s="82"/>
      <c r="V139" s="82"/>
      <c r="W139" s="82"/>
      <c r="X139" s="82"/>
      <c r="Y139" s="82"/>
      <c r="Z139" s="82"/>
      <c r="AA139" s="82"/>
      <c r="AB139" s="82"/>
      <c r="AC139" s="3"/>
    </row>
    <row r="140" spans="1:29" s="2" customFormat="1" ht="31" x14ac:dyDescent="0.35">
      <c r="A140" s="79" t="s">
        <v>218</v>
      </c>
      <c r="B140" s="80" t="s">
        <v>219</v>
      </c>
      <c r="C140" s="80" t="s">
        <v>257</v>
      </c>
      <c r="D140" s="80"/>
      <c r="E140" s="80"/>
      <c r="F140" s="80"/>
      <c r="G140" s="80"/>
      <c r="H140" s="80" t="s">
        <v>262</v>
      </c>
      <c r="I140" s="80"/>
      <c r="J140" s="80"/>
      <c r="K140" s="80"/>
      <c r="L140" s="80"/>
      <c r="M140" s="80"/>
      <c r="N140" s="80"/>
      <c r="O140" s="81"/>
      <c r="P140" s="81"/>
      <c r="Q140" s="82"/>
      <c r="R140" s="82"/>
      <c r="S140" s="82"/>
      <c r="T140" s="82"/>
      <c r="U140" s="82"/>
      <c r="V140" s="82"/>
      <c r="W140" s="82"/>
      <c r="X140" s="82"/>
      <c r="Y140" s="82"/>
      <c r="Z140" s="82"/>
      <c r="AA140" s="82"/>
      <c r="AB140" s="82"/>
      <c r="AC140" s="3"/>
    </row>
    <row r="141" spans="1:29" s="2" customFormat="1" ht="31" x14ac:dyDescent="0.35">
      <c r="A141" s="79" t="s">
        <v>218</v>
      </c>
      <c r="B141" s="80" t="s">
        <v>219</v>
      </c>
      <c r="C141" s="80" t="s">
        <v>257</v>
      </c>
      <c r="D141" s="80"/>
      <c r="E141" s="80"/>
      <c r="F141" s="80"/>
      <c r="G141" s="80"/>
      <c r="H141" s="80" t="s">
        <v>263</v>
      </c>
      <c r="I141" s="80"/>
      <c r="J141" s="80"/>
      <c r="K141" s="80"/>
      <c r="L141" s="80"/>
      <c r="M141" s="80"/>
      <c r="N141" s="80"/>
      <c r="O141" s="81"/>
      <c r="P141" s="81"/>
      <c r="Q141" s="82"/>
      <c r="R141" s="82"/>
      <c r="S141" s="82"/>
      <c r="T141" s="82"/>
      <c r="U141" s="82"/>
      <c r="V141" s="82"/>
      <c r="W141" s="82"/>
      <c r="X141" s="82"/>
      <c r="Y141" s="82"/>
      <c r="Z141" s="82"/>
      <c r="AA141" s="82"/>
      <c r="AB141" s="82"/>
      <c r="AC141" s="3"/>
    </row>
    <row r="142" spans="1:29" s="2" customFormat="1" ht="31" x14ac:dyDescent="0.35">
      <c r="A142" s="79" t="s">
        <v>218</v>
      </c>
      <c r="B142" s="80" t="s">
        <v>219</v>
      </c>
      <c r="C142" s="80" t="s">
        <v>257</v>
      </c>
      <c r="D142" s="80"/>
      <c r="E142" s="80"/>
      <c r="F142" s="80"/>
      <c r="G142" s="80"/>
      <c r="H142" s="80" t="s">
        <v>264</v>
      </c>
      <c r="I142" s="80"/>
      <c r="J142" s="80"/>
      <c r="K142" s="80"/>
      <c r="L142" s="80"/>
      <c r="M142" s="80"/>
      <c r="N142" s="80"/>
      <c r="O142" s="81"/>
      <c r="P142" s="81"/>
      <c r="Q142" s="82"/>
      <c r="R142" s="82"/>
      <c r="S142" s="82"/>
      <c r="T142" s="82"/>
      <c r="U142" s="82"/>
      <c r="V142" s="82"/>
      <c r="W142" s="82"/>
      <c r="X142" s="82"/>
      <c r="Y142" s="82"/>
      <c r="Z142" s="82"/>
      <c r="AA142" s="82"/>
      <c r="AB142" s="82"/>
      <c r="AC142" s="3"/>
    </row>
    <row r="143" spans="1:29" s="2" customFormat="1" ht="31" x14ac:dyDescent="0.35">
      <c r="A143" s="79" t="s">
        <v>218</v>
      </c>
      <c r="B143" s="80" t="s">
        <v>219</v>
      </c>
      <c r="C143" s="80" t="s">
        <v>257</v>
      </c>
      <c r="D143" s="80"/>
      <c r="E143" s="80"/>
      <c r="F143" s="80"/>
      <c r="G143" s="80"/>
      <c r="H143" s="80" t="s">
        <v>265</v>
      </c>
      <c r="I143" s="80"/>
      <c r="J143" s="80"/>
      <c r="K143" s="80"/>
      <c r="L143" s="80"/>
      <c r="M143" s="80"/>
      <c r="N143" s="80"/>
      <c r="O143" s="81"/>
      <c r="P143" s="81"/>
      <c r="Q143" s="82"/>
      <c r="R143" s="82"/>
      <c r="S143" s="82"/>
      <c r="T143" s="82"/>
      <c r="U143" s="82"/>
      <c r="V143" s="82"/>
      <c r="W143" s="82"/>
      <c r="X143" s="82"/>
      <c r="Y143" s="82"/>
      <c r="Z143" s="82"/>
      <c r="AA143" s="82"/>
      <c r="AB143" s="82"/>
      <c r="AC143" s="3"/>
    </row>
    <row r="144" spans="1:29" s="2" customFormat="1" ht="31" x14ac:dyDescent="0.35">
      <c r="A144" s="79" t="s">
        <v>218</v>
      </c>
      <c r="B144" s="80" t="s">
        <v>219</v>
      </c>
      <c r="C144" s="80" t="s">
        <v>257</v>
      </c>
      <c r="D144" s="80"/>
      <c r="E144" s="80"/>
      <c r="F144" s="80"/>
      <c r="G144" s="80"/>
      <c r="H144" s="80" t="s">
        <v>266</v>
      </c>
      <c r="I144" s="80"/>
      <c r="J144" s="80"/>
      <c r="K144" s="80"/>
      <c r="L144" s="80"/>
      <c r="M144" s="80"/>
      <c r="N144" s="80"/>
      <c r="O144" s="81"/>
      <c r="P144" s="81"/>
      <c r="Q144" s="82"/>
      <c r="R144" s="82"/>
      <c r="S144" s="82"/>
      <c r="T144" s="82"/>
      <c r="U144" s="82"/>
      <c r="V144" s="82"/>
      <c r="W144" s="82"/>
      <c r="X144" s="82"/>
      <c r="Y144" s="82"/>
      <c r="Z144" s="82"/>
      <c r="AA144" s="82"/>
      <c r="AB144" s="82"/>
      <c r="AC144" s="3"/>
    </row>
    <row r="145" spans="1:29" s="2" customFormat="1" ht="31" x14ac:dyDescent="0.35">
      <c r="A145" s="79" t="s">
        <v>218</v>
      </c>
      <c r="B145" s="80" t="s">
        <v>219</v>
      </c>
      <c r="C145" s="80" t="s">
        <v>257</v>
      </c>
      <c r="D145" s="80"/>
      <c r="E145" s="80"/>
      <c r="F145" s="80"/>
      <c r="G145" s="80"/>
      <c r="H145" s="80" t="s">
        <v>267</v>
      </c>
      <c r="I145" s="80"/>
      <c r="J145" s="80"/>
      <c r="K145" s="80"/>
      <c r="L145" s="80"/>
      <c r="M145" s="80"/>
      <c r="N145" s="80"/>
      <c r="O145" s="81"/>
      <c r="P145" s="81"/>
      <c r="Q145" s="82"/>
      <c r="R145" s="82"/>
      <c r="S145" s="82"/>
      <c r="T145" s="82"/>
      <c r="U145" s="82"/>
      <c r="V145" s="82"/>
      <c r="W145" s="82"/>
      <c r="X145" s="82"/>
      <c r="Y145" s="82"/>
      <c r="Z145" s="82"/>
      <c r="AA145" s="82"/>
      <c r="AB145" s="82"/>
      <c r="AC145" s="3"/>
    </row>
    <row r="146" spans="1:29" s="2" customFormat="1" ht="31" x14ac:dyDescent="0.35">
      <c r="A146" s="79" t="s">
        <v>218</v>
      </c>
      <c r="B146" s="80" t="s">
        <v>219</v>
      </c>
      <c r="C146" s="80" t="s">
        <v>257</v>
      </c>
      <c r="D146" s="80"/>
      <c r="E146" s="80"/>
      <c r="F146" s="80"/>
      <c r="G146" s="80"/>
      <c r="H146" s="80" t="s">
        <v>268</v>
      </c>
      <c r="I146" s="80"/>
      <c r="J146" s="80"/>
      <c r="K146" s="80"/>
      <c r="L146" s="80"/>
      <c r="M146" s="80"/>
      <c r="N146" s="80"/>
      <c r="O146" s="81"/>
      <c r="P146" s="81"/>
      <c r="Q146" s="82"/>
      <c r="R146" s="82"/>
      <c r="S146" s="82"/>
      <c r="T146" s="82"/>
      <c r="U146" s="82"/>
      <c r="V146" s="82"/>
      <c r="W146" s="82"/>
      <c r="X146" s="82"/>
      <c r="Y146" s="82"/>
      <c r="Z146" s="82"/>
      <c r="AA146" s="82"/>
      <c r="AB146" s="82"/>
      <c r="AC146" s="3"/>
    </row>
    <row r="147" spans="1:29" s="2" customFormat="1" ht="31" x14ac:dyDescent="0.35">
      <c r="A147" s="79" t="s">
        <v>218</v>
      </c>
      <c r="B147" s="80" t="s">
        <v>219</v>
      </c>
      <c r="C147" s="80" t="s">
        <v>257</v>
      </c>
      <c r="D147" s="80"/>
      <c r="E147" s="80"/>
      <c r="F147" s="80"/>
      <c r="G147" s="80"/>
      <c r="H147" s="80" t="s">
        <v>269</v>
      </c>
      <c r="I147" s="80"/>
      <c r="J147" s="80"/>
      <c r="K147" s="80"/>
      <c r="L147" s="80"/>
      <c r="M147" s="80"/>
      <c r="N147" s="80"/>
      <c r="O147" s="81"/>
      <c r="P147" s="81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3"/>
    </row>
    <row r="148" spans="1:29" s="2" customFormat="1" ht="31" x14ac:dyDescent="0.35">
      <c r="A148" s="79" t="s">
        <v>218</v>
      </c>
      <c r="B148" s="80" t="s">
        <v>219</v>
      </c>
      <c r="C148" s="80" t="s">
        <v>257</v>
      </c>
      <c r="D148" s="80"/>
      <c r="E148" s="80"/>
      <c r="F148" s="80"/>
      <c r="G148" s="80"/>
      <c r="H148" s="80" t="s">
        <v>270</v>
      </c>
      <c r="I148" s="80"/>
      <c r="J148" s="80"/>
      <c r="K148" s="80"/>
      <c r="L148" s="80"/>
      <c r="M148" s="80"/>
      <c r="N148" s="80"/>
      <c r="O148" s="81"/>
      <c r="P148" s="81"/>
      <c r="Q148" s="82"/>
      <c r="R148" s="82"/>
      <c r="S148" s="82"/>
      <c r="T148" s="82"/>
      <c r="U148" s="82"/>
      <c r="V148" s="82"/>
      <c r="W148" s="82"/>
      <c r="X148" s="82"/>
      <c r="Y148" s="82"/>
      <c r="Z148" s="82"/>
      <c r="AA148" s="82"/>
      <c r="AB148" s="82"/>
      <c r="AC148" s="3"/>
    </row>
    <row r="149" spans="1:29" s="2" customFormat="1" ht="31" x14ac:dyDescent="0.35">
      <c r="A149" s="79" t="s">
        <v>218</v>
      </c>
      <c r="B149" s="80" t="s">
        <v>219</v>
      </c>
      <c r="C149" s="80" t="s">
        <v>257</v>
      </c>
      <c r="D149" s="80"/>
      <c r="E149" s="80"/>
      <c r="F149" s="80"/>
      <c r="G149" s="80"/>
      <c r="H149" s="80" t="s">
        <v>271</v>
      </c>
      <c r="I149" s="80"/>
      <c r="J149" s="80"/>
      <c r="K149" s="80"/>
      <c r="L149" s="80"/>
      <c r="M149" s="80"/>
      <c r="N149" s="80"/>
      <c r="O149" s="81"/>
      <c r="P149" s="81"/>
      <c r="Q149" s="82"/>
      <c r="R149" s="82"/>
      <c r="S149" s="82"/>
      <c r="T149" s="82"/>
      <c r="U149" s="82"/>
      <c r="V149" s="82"/>
      <c r="W149" s="82"/>
      <c r="X149" s="82"/>
      <c r="Y149" s="82"/>
      <c r="Z149" s="82"/>
      <c r="AA149" s="82"/>
      <c r="AB149" s="82"/>
      <c r="AC149" s="3"/>
    </row>
    <row r="150" spans="1:29" s="2" customFormat="1" ht="31" x14ac:dyDescent="0.35">
      <c r="A150" s="79" t="s">
        <v>218</v>
      </c>
      <c r="B150" s="80" t="s">
        <v>219</v>
      </c>
      <c r="C150" s="80" t="s">
        <v>257</v>
      </c>
      <c r="D150" s="80"/>
      <c r="E150" s="80"/>
      <c r="F150" s="80"/>
      <c r="G150" s="80"/>
      <c r="H150" s="80" t="s">
        <v>272</v>
      </c>
      <c r="I150" s="80"/>
      <c r="J150" s="80"/>
      <c r="K150" s="80"/>
      <c r="L150" s="80"/>
      <c r="M150" s="80"/>
      <c r="N150" s="80"/>
      <c r="O150" s="81"/>
      <c r="P150" s="81"/>
      <c r="Q150" s="82"/>
      <c r="R150" s="82"/>
      <c r="S150" s="82"/>
      <c r="T150" s="82"/>
      <c r="U150" s="82"/>
      <c r="V150" s="82"/>
      <c r="W150" s="82"/>
      <c r="X150" s="82"/>
      <c r="Y150" s="82"/>
      <c r="Z150" s="82"/>
      <c r="AA150" s="82"/>
      <c r="AB150" s="82"/>
      <c r="AC150" s="3"/>
    </row>
    <row r="151" spans="1:29" s="2" customFormat="1" ht="31" x14ac:dyDescent="0.35">
      <c r="A151" s="79" t="s">
        <v>218</v>
      </c>
      <c r="B151" s="80" t="s">
        <v>219</v>
      </c>
      <c r="C151" s="80" t="s">
        <v>257</v>
      </c>
      <c r="D151" s="80"/>
      <c r="E151" s="80"/>
      <c r="F151" s="80"/>
      <c r="G151" s="80"/>
      <c r="H151" s="80" t="s">
        <v>273</v>
      </c>
      <c r="I151" s="80"/>
      <c r="J151" s="80"/>
      <c r="K151" s="80"/>
      <c r="L151" s="80"/>
      <c r="M151" s="80"/>
      <c r="N151" s="80"/>
      <c r="O151" s="81"/>
      <c r="P151" s="81"/>
      <c r="Q151" s="82"/>
      <c r="R151" s="82"/>
      <c r="S151" s="82"/>
      <c r="T151" s="82"/>
      <c r="U151" s="82"/>
      <c r="V151" s="82"/>
      <c r="W151" s="82"/>
      <c r="X151" s="82"/>
      <c r="Y151" s="82"/>
      <c r="Z151" s="82"/>
      <c r="AA151" s="82"/>
      <c r="AB151" s="82"/>
      <c r="AC151" s="3"/>
    </row>
    <row r="152" spans="1:29" s="2" customFormat="1" ht="31" x14ac:dyDescent="0.35">
      <c r="A152" s="79" t="s">
        <v>218</v>
      </c>
      <c r="B152" s="80" t="s">
        <v>219</v>
      </c>
      <c r="C152" s="80" t="s">
        <v>257</v>
      </c>
      <c r="D152" s="80"/>
      <c r="E152" s="80"/>
      <c r="F152" s="80"/>
      <c r="G152" s="80"/>
      <c r="H152" s="80" t="s">
        <v>274</v>
      </c>
      <c r="I152" s="80"/>
      <c r="J152" s="80"/>
      <c r="K152" s="80"/>
      <c r="L152" s="80"/>
      <c r="M152" s="80"/>
      <c r="N152" s="80"/>
      <c r="O152" s="81"/>
      <c r="P152" s="81"/>
      <c r="Q152" s="82"/>
      <c r="R152" s="82"/>
      <c r="S152" s="82"/>
      <c r="T152" s="82"/>
      <c r="U152" s="82"/>
      <c r="V152" s="82"/>
      <c r="W152" s="82"/>
      <c r="X152" s="82"/>
      <c r="Y152" s="82"/>
      <c r="Z152" s="82"/>
      <c r="AA152" s="82"/>
      <c r="AB152" s="82"/>
      <c r="AC152" s="3"/>
    </row>
    <row r="153" spans="1:29" s="2" customFormat="1" ht="31" x14ac:dyDescent="0.35">
      <c r="A153" s="79" t="s">
        <v>218</v>
      </c>
      <c r="B153" s="80" t="s">
        <v>219</v>
      </c>
      <c r="C153" s="80" t="s">
        <v>257</v>
      </c>
      <c r="D153" s="80"/>
      <c r="E153" s="80"/>
      <c r="F153" s="80"/>
      <c r="G153" s="80"/>
      <c r="H153" s="80" t="s">
        <v>275</v>
      </c>
      <c r="I153" s="80"/>
      <c r="J153" s="80"/>
      <c r="K153" s="80"/>
      <c r="L153" s="80"/>
      <c r="M153" s="80"/>
      <c r="N153" s="80"/>
      <c r="O153" s="81"/>
      <c r="P153" s="81"/>
      <c r="Q153" s="82"/>
      <c r="R153" s="82"/>
      <c r="S153" s="82"/>
      <c r="T153" s="82"/>
      <c r="U153" s="82"/>
      <c r="V153" s="82"/>
      <c r="W153" s="82"/>
      <c r="X153" s="82"/>
      <c r="Y153" s="82"/>
      <c r="Z153" s="82"/>
      <c r="AA153" s="82"/>
      <c r="AB153" s="82"/>
      <c r="AC153" s="3"/>
    </row>
    <row r="154" spans="1:29" ht="46.5" x14ac:dyDescent="0.35">
      <c r="A154" s="71" t="s">
        <v>218</v>
      </c>
      <c r="B154" s="83" t="s">
        <v>219</v>
      </c>
      <c r="C154" s="84" t="s">
        <v>276</v>
      </c>
      <c r="D154" s="89" t="s">
        <v>40</v>
      </c>
      <c r="E154" s="84"/>
      <c r="F154" s="84"/>
      <c r="G154" s="84"/>
      <c r="H154" s="83" t="s">
        <v>277</v>
      </c>
      <c r="I154" s="84" t="s">
        <v>222</v>
      </c>
      <c r="J154" s="83" t="s">
        <v>43</v>
      </c>
      <c r="K154" s="83" t="s">
        <v>43</v>
      </c>
      <c r="L154" s="107"/>
      <c r="M154" s="83" t="s">
        <v>44</v>
      </c>
      <c r="N154" s="86">
        <v>1400</v>
      </c>
      <c r="O154" s="86">
        <v>960</v>
      </c>
      <c r="P154" s="86"/>
      <c r="Q154" s="87"/>
      <c r="R154" s="87"/>
      <c r="S154" s="93" t="s">
        <v>45</v>
      </c>
      <c r="T154" s="87"/>
      <c r="U154" s="87"/>
      <c r="V154" s="87"/>
      <c r="W154" s="87"/>
      <c r="X154" s="87"/>
      <c r="Y154" s="78" t="s">
        <v>40</v>
      </c>
      <c r="Z154" s="87"/>
      <c r="AA154" s="87"/>
      <c r="AB154" s="87"/>
      <c r="AC154" s="8"/>
    </row>
    <row r="155" spans="1:29" s="2" customFormat="1" ht="31" x14ac:dyDescent="0.35">
      <c r="A155" s="79" t="s">
        <v>218</v>
      </c>
      <c r="B155" s="80" t="s">
        <v>219</v>
      </c>
      <c r="C155" s="80" t="s">
        <v>276</v>
      </c>
      <c r="D155" s="80"/>
      <c r="E155" s="80"/>
      <c r="F155" s="80"/>
      <c r="G155" s="80"/>
      <c r="H155" s="121" t="s">
        <v>278</v>
      </c>
      <c r="I155" s="121"/>
      <c r="J155" s="121"/>
      <c r="K155" s="121"/>
      <c r="L155" s="121"/>
      <c r="M155" s="80"/>
      <c r="N155" s="80"/>
      <c r="O155" s="81"/>
      <c r="P155" s="81"/>
      <c r="Q155" s="82"/>
      <c r="R155" s="82"/>
      <c r="S155" s="82"/>
      <c r="T155" s="82"/>
      <c r="U155" s="82"/>
      <c r="V155" s="82"/>
      <c r="W155" s="82"/>
      <c r="X155" s="82"/>
      <c r="Y155" s="82"/>
      <c r="Z155" s="82"/>
      <c r="AA155" s="82"/>
      <c r="AB155" s="82"/>
      <c r="AC155" s="3"/>
    </row>
    <row r="156" spans="1:29" s="2" customFormat="1" ht="31" x14ac:dyDescent="0.35">
      <c r="A156" s="79" t="s">
        <v>218</v>
      </c>
      <c r="B156" s="80" t="s">
        <v>219</v>
      </c>
      <c r="C156" s="80" t="s">
        <v>276</v>
      </c>
      <c r="D156" s="80"/>
      <c r="E156" s="80"/>
      <c r="F156" s="80"/>
      <c r="G156" s="80"/>
      <c r="H156" s="121" t="s">
        <v>279</v>
      </c>
      <c r="I156" s="121"/>
      <c r="J156" s="121"/>
      <c r="K156" s="121"/>
      <c r="L156" s="121"/>
      <c r="M156" s="80"/>
      <c r="N156" s="80"/>
      <c r="O156" s="81"/>
      <c r="P156" s="81"/>
      <c r="Q156" s="82"/>
      <c r="R156" s="82"/>
      <c r="S156" s="82"/>
      <c r="T156" s="82"/>
      <c r="U156" s="82"/>
      <c r="V156" s="82"/>
      <c r="W156" s="82"/>
      <c r="X156" s="82"/>
      <c r="Y156" s="82"/>
      <c r="Z156" s="82"/>
      <c r="AA156" s="82"/>
      <c r="AB156" s="82"/>
      <c r="AC156" s="3"/>
    </row>
    <row r="157" spans="1:29" s="2" customFormat="1" ht="31" x14ac:dyDescent="0.35">
      <c r="A157" s="79" t="s">
        <v>218</v>
      </c>
      <c r="B157" s="80" t="s">
        <v>219</v>
      </c>
      <c r="C157" s="80" t="s">
        <v>276</v>
      </c>
      <c r="D157" s="80"/>
      <c r="E157" s="80"/>
      <c r="F157" s="80"/>
      <c r="G157" s="80"/>
      <c r="H157" s="121" t="s">
        <v>280</v>
      </c>
      <c r="I157" s="121"/>
      <c r="J157" s="121"/>
      <c r="K157" s="121"/>
      <c r="L157" s="121"/>
      <c r="M157" s="80"/>
      <c r="N157" s="80"/>
      <c r="O157" s="81"/>
      <c r="P157" s="81"/>
      <c r="Q157" s="82"/>
      <c r="R157" s="82"/>
      <c r="S157" s="82"/>
      <c r="T157" s="82"/>
      <c r="U157" s="82"/>
      <c r="V157" s="82"/>
      <c r="W157" s="82"/>
      <c r="X157" s="82"/>
      <c r="Y157" s="82"/>
      <c r="Z157" s="82"/>
      <c r="AA157" s="82"/>
      <c r="AB157" s="82"/>
      <c r="AC157" s="3"/>
    </row>
    <row r="158" spans="1:29" s="2" customFormat="1" ht="31" x14ac:dyDescent="0.35">
      <c r="A158" s="79" t="s">
        <v>218</v>
      </c>
      <c r="B158" s="80" t="s">
        <v>219</v>
      </c>
      <c r="C158" s="80" t="s">
        <v>276</v>
      </c>
      <c r="D158" s="80"/>
      <c r="E158" s="80"/>
      <c r="F158" s="80"/>
      <c r="G158" s="80"/>
      <c r="H158" s="80" t="s">
        <v>281</v>
      </c>
      <c r="I158" s="80"/>
      <c r="J158" s="80"/>
      <c r="K158" s="80"/>
      <c r="L158" s="80"/>
      <c r="M158" s="80"/>
      <c r="N158" s="80"/>
      <c r="O158" s="81"/>
      <c r="P158" s="81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3"/>
    </row>
    <row r="159" spans="1:29" ht="46.5" x14ac:dyDescent="0.35">
      <c r="A159" s="71" t="s">
        <v>218</v>
      </c>
      <c r="B159" s="83" t="s">
        <v>219</v>
      </c>
      <c r="C159" s="84" t="s">
        <v>282</v>
      </c>
      <c r="D159" s="89" t="s">
        <v>72</v>
      </c>
      <c r="E159" s="84"/>
      <c r="F159" s="84"/>
      <c r="G159" s="84"/>
      <c r="H159" s="83" t="s">
        <v>283</v>
      </c>
      <c r="I159" s="84" t="s">
        <v>222</v>
      </c>
      <c r="J159" s="83" t="s">
        <v>43</v>
      </c>
      <c r="K159" s="83" t="s">
        <v>43</v>
      </c>
      <c r="L159" s="83"/>
      <c r="M159" s="83" t="s">
        <v>44</v>
      </c>
      <c r="N159" s="86">
        <v>17010</v>
      </c>
      <c r="O159" s="76">
        <v>240</v>
      </c>
      <c r="P159" s="111"/>
      <c r="Q159" s="87"/>
      <c r="R159" s="87"/>
      <c r="S159" s="87"/>
      <c r="T159" s="87"/>
      <c r="U159" s="87"/>
      <c r="V159" s="87"/>
      <c r="W159" s="87"/>
      <c r="X159" s="93" t="s">
        <v>86</v>
      </c>
      <c r="Y159" s="87"/>
      <c r="Z159" s="87"/>
      <c r="AA159" s="87"/>
      <c r="AB159" s="87"/>
      <c r="AC159" s="8"/>
    </row>
    <row r="160" spans="1:29" s="2" customFormat="1" ht="31" x14ac:dyDescent="0.35">
      <c r="A160" s="79" t="s">
        <v>218</v>
      </c>
      <c r="B160" s="80" t="s">
        <v>219</v>
      </c>
      <c r="C160" s="80" t="s">
        <v>282</v>
      </c>
      <c r="D160" s="80"/>
      <c r="E160" s="80"/>
      <c r="F160" s="80"/>
      <c r="G160" s="80"/>
      <c r="H160" s="80" t="s">
        <v>284</v>
      </c>
      <c r="I160" s="80"/>
      <c r="J160" s="80"/>
      <c r="K160" s="80"/>
      <c r="L160" s="80"/>
      <c r="M160" s="80"/>
      <c r="N160" s="80"/>
      <c r="O160" s="81"/>
      <c r="P160" s="81"/>
      <c r="Q160" s="82"/>
      <c r="R160" s="82"/>
      <c r="S160" s="82"/>
      <c r="T160" s="82"/>
      <c r="U160" s="82"/>
      <c r="V160" s="82"/>
      <c r="W160" s="82"/>
      <c r="X160" s="82"/>
      <c r="Y160" s="82"/>
      <c r="Z160" s="82"/>
      <c r="AA160" s="82"/>
      <c r="AB160" s="82"/>
      <c r="AC160" s="3"/>
    </row>
    <row r="161" spans="1:29" s="2" customFormat="1" ht="31" x14ac:dyDescent="0.35">
      <c r="A161" s="79" t="s">
        <v>218</v>
      </c>
      <c r="B161" s="80" t="s">
        <v>219</v>
      </c>
      <c r="C161" s="80" t="s">
        <v>282</v>
      </c>
      <c r="D161" s="80"/>
      <c r="E161" s="80"/>
      <c r="F161" s="80"/>
      <c r="G161" s="80"/>
      <c r="H161" s="80" t="s">
        <v>285</v>
      </c>
      <c r="I161" s="80"/>
      <c r="J161" s="80"/>
      <c r="K161" s="80"/>
      <c r="L161" s="80"/>
      <c r="M161" s="80"/>
      <c r="N161" s="80"/>
      <c r="O161" s="81"/>
      <c r="P161" s="81"/>
      <c r="Q161" s="82"/>
      <c r="R161" s="82"/>
      <c r="S161" s="82"/>
      <c r="T161" s="82"/>
      <c r="U161" s="82"/>
      <c r="V161" s="82"/>
      <c r="W161" s="82"/>
      <c r="X161" s="82"/>
      <c r="Y161" s="82"/>
      <c r="Z161" s="82"/>
      <c r="AA161" s="82"/>
      <c r="AB161" s="82"/>
      <c r="AC161" s="3"/>
    </row>
    <row r="162" spans="1:29" s="2" customFormat="1" ht="31" x14ac:dyDescent="0.35">
      <c r="A162" s="79" t="s">
        <v>218</v>
      </c>
      <c r="B162" s="80" t="s">
        <v>219</v>
      </c>
      <c r="C162" s="80" t="s">
        <v>286</v>
      </c>
      <c r="D162" s="80"/>
      <c r="E162" s="80"/>
      <c r="F162" s="80"/>
      <c r="G162" s="80"/>
      <c r="H162" s="80" t="s">
        <v>287</v>
      </c>
      <c r="I162" s="80"/>
      <c r="J162" s="80"/>
      <c r="K162" s="80"/>
      <c r="L162" s="80"/>
      <c r="M162" s="80"/>
      <c r="N162" s="80"/>
      <c r="O162" s="81"/>
      <c r="P162" s="81"/>
      <c r="Q162" s="82"/>
      <c r="R162" s="82"/>
      <c r="S162" s="82"/>
      <c r="T162" s="82"/>
      <c r="U162" s="82"/>
      <c r="V162" s="82"/>
      <c r="W162" s="82"/>
      <c r="X162" s="82"/>
      <c r="Y162" s="82"/>
      <c r="Z162" s="82"/>
      <c r="AA162" s="82"/>
      <c r="AB162" s="82"/>
      <c r="AC162" s="3"/>
    </row>
    <row r="163" spans="1:29" s="2" customFormat="1" ht="31" x14ac:dyDescent="0.35">
      <c r="A163" s="79" t="s">
        <v>218</v>
      </c>
      <c r="B163" s="80" t="s">
        <v>219</v>
      </c>
      <c r="C163" s="80" t="s">
        <v>286</v>
      </c>
      <c r="D163" s="80"/>
      <c r="E163" s="80"/>
      <c r="F163" s="80"/>
      <c r="G163" s="80"/>
      <c r="H163" s="80" t="s">
        <v>288</v>
      </c>
      <c r="I163" s="80"/>
      <c r="J163" s="80"/>
      <c r="K163" s="80"/>
      <c r="L163" s="80"/>
      <c r="M163" s="80"/>
      <c r="N163" s="80"/>
      <c r="O163" s="81"/>
      <c r="P163" s="81"/>
      <c r="Q163" s="82"/>
      <c r="R163" s="82"/>
      <c r="S163" s="82"/>
      <c r="T163" s="82"/>
      <c r="U163" s="82"/>
      <c r="V163" s="82"/>
      <c r="W163" s="82"/>
      <c r="X163" s="82"/>
      <c r="Y163" s="82"/>
      <c r="Z163" s="82"/>
      <c r="AA163" s="82"/>
      <c r="AB163" s="82"/>
      <c r="AC163" s="3"/>
    </row>
    <row r="164" spans="1:29" s="2" customFormat="1" ht="31" x14ac:dyDescent="0.35">
      <c r="A164" s="79" t="s">
        <v>218</v>
      </c>
      <c r="B164" s="80" t="s">
        <v>219</v>
      </c>
      <c r="C164" s="80" t="s">
        <v>286</v>
      </c>
      <c r="D164" s="80"/>
      <c r="E164" s="80"/>
      <c r="F164" s="80"/>
      <c r="G164" s="80"/>
      <c r="H164" s="80" t="s">
        <v>289</v>
      </c>
      <c r="I164" s="80"/>
      <c r="J164" s="80"/>
      <c r="K164" s="80"/>
      <c r="L164" s="80"/>
      <c r="M164" s="80"/>
      <c r="N164" s="80"/>
      <c r="O164" s="81"/>
      <c r="P164" s="81"/>
      <c r="Q164" s="82"/>
      <c r="R164" s="82"/>
      <c r="S164" s="82"/>
      <c r="T164" s="82"/>
      <c r="U164" s="82"/>
      <c r="V164" s="82"/>
      <c r="W164" s="82"/>
      <c r="X164" s="82"/>
      <c r="Y164" s="82"/>
      <c r="Z164" s="82"/>
      <c r="AA164" s="82"/>
      <c r="AB164" s="82"/>
      <c r="AC164" s="3"/>
    </row>
    <row r="165" spans="1:29" ht="46.5" x14ac:dyDescent="0.35">
      <c r="A165" s="71" t="s">
        <v>218</v>
      </c>
      <c r="B165" s="83" t="s">
        <v>219</v>
      </c>
      <c r="C165" s="84" t="s">
        <v>290</v>
      </c>
      <c r="D165" s="84"/>
      <c r="E165" s="85" t="s">
        <v>72</v>
      </c>
      <c r="F165" s="84"/>
      <c r="G165" s="85" t="s">
        <v>72</v>
      </c>
      <c r="H165" s="83" t="s">
        <v>291</v>
      </c>
      <c r="I165" s="84" t="s">
        <v>222</v>
      </c>
      <c r="J165" s="83" t="s">
        <v>105</v>
      </c>
      <c r="K165" s="83" t="s">
        <v>43</v>
      </c>
      <c r="L165" s="83"/>
      <c r="M165" s="83" t="s">
        <v>44</v>
      </c>
      <c r="N165" s="86">
        <v>1040.21</v>
      </c>
      <c r="O165" s="86">
        <v>2551</v>
      </c>
      <c r="P165" s="86"/>
      <c r="Q165" s="87"/>
      <c r="R165" s="87"/>
      <c r="S165" s="87"/>
      <c r="T165" s="87"/>
      <c r="U165" s="93" t="s">
        <v>86</v>
      </c>
      <c r="V165" s="87"/>
      <c r="W165" s="87"/>
      <c r="X165" s="87"/>
      <c r="Z165" s="87"/>
      <c r="AA165" s="87"/>
      <c r="AB165" s="87"/>
      <c r="AC165" s="8"/>
    </row>
    <row r="166" spans="1:29" s="2" customFormat="1" ht="31" x14ac:dyDescent="0.35">
      <c r="A166" s="79" t="s">
        <v>218</v>
      </c>
      <c r="B166" s="80" t="s">
        <v>219</v>
      </c>
      <c r="C166" s="80" t="s">
        <v>290</v>
      </c>
      <c r="D166" s="80"/>
      <c r="E166" s="80"/>
      <c r="F166" s="80"/>
      <c r="G166" s="80"/>
      <c r="H166" s="80" t="s">
        <v>292</v>
      </c>
      <c r="I166" s="80"/>
      <c r="J166" s="80"/>
      <c r="K166" s="80"/>
      <c r="L166" s="80"/>
      <c r="M166" s="80"/>
      <c r="N166" s="80"/>
      <c r="O166" s="81"/>
      <c r="P166" s="81"/>
      <c r="Q166" s="82"/>
      <c r="R166" s="82"/>
      <c r="S166" s="82"/>
      <c r="T166" s="82"/>
      <c r="U166" s="82"/>
      <c r="V166" s="82"/>
      <c r="W166" s="82"/>
      <c r="X166" s="82"/>
      <c r="Y166" s="82"/>
      <c r="Z166" s="82"/>
      <c r="AA166" s="82"/>
      <c r="AB166" s="82"/>
      <c r="AC166" s="3"/>
    </row>
    <row r="167" spans="1:29" s="2" customFormat="1" ht="31" x14ac:dyDescent="0.35">
      <c r="A167" s="79" t="s">
        <v>218</v>
      </c>
      <c r="B167" s="80" t="s">
        <v>219</v>
      </c>
      <c r="C167" s="80" t="s">
        <v>290</v>
      </c>
      <c r="D167" s="80"/>
      <c r="E167" s="80"/>
      <c r="F167" s="80"/>
      <c r="G167" s="80"/>
      <c r="H167" s="80" t="s">
        <v>293</v>
      </c>
      <c r="I167" s="80"/>
      <c r="J167" s="80"/>
      <c r="K167" s="80"/>
      <c r="L167" s="80"/>
      <c r="M167" s="80"/>
      <c r="N167" s="80"/>
      <c r="O167" s="81"/>
      <c r="P167" s="81"/>
      <c r="Q167" s="82"/>
      <c r="R167" s="82"/>
      <c r="S167" s="82"/>
      <c r="T167" s="82"/>
      <c r="U167" s="82"/>
      <c r="V167" s="82"/>
      <c r="W167" s="82"/>
      <c r="X167" s="82"/>
      <c r="Y167" s="82"/>
      <c r="Z167" s="82"/>
      <c r="AA167" s="82"/>
      <c r="AB167" s="82"/>
      <c r="AC167" s="3"/>
    </row>
    <row r="168" spans="1:29" ht="46.5" x14ac:dyDescent="0.35">
      <c r="A168" s="71" t="s">
        <v>218</v>
      </c>
      <c r="B168" s="83" t="s">
        <v>219</v>
      </c>
      <c r="C168" s="84" t="s">
        <v>294</v>
      </c>
      <c r="D168" s="84"/>
      <c r="E168" s="85" t="s">
        <v>114</v>
      </c>
      <c r="F168" s="84"/>
      <c r="G168" s="85" t="s">
        <v>114</v>
      </c>
      <c r="H168" s="83" t="s">
        <v>295</v>
      </c>
      <c r="I168" s="84" t="s">
        <v>222</v>
      </c>
      <c r="J168" s="83" t="s">
        <v>105</v>
      </c>
      <c r="K168" s="83" t="s">
        <v>43</v>
      </c>
      <c r="L168" s="83"/>
      <c r="M168" s="83" t="s">
        <v>44</v>
      </c>
      <c r="N168" s="100" t="s">
        <v>296</v>
      </c>
      <c r="O168" s="86">
        <v>1799</v>
      </c>
      <c r="P168" s="86"/>
      <c r="Q168" s="87"/>
      <c r="R168" s="93" t="s">
        <v>45</v>
      </c>
      <c r="S168" s="87"/>
      <c r="T168" s="87"/>
      <c r="U168" s="87"/>
      <c r="V168" s="87"/>
      <c r="W168" s="87"/>
      <c r="X168" s="93" t="s">
        <v>86</v>
      </c>
      <c r="Y168" s="87"/>
      <c r="Z168" s="87"/>
      <c r="AA168" s="87"/>
      <c r="AB168" s="87"/>
      <c r="AC168" s="8"/>
    </row>
    <row r="169" spans="1:29" s="2" customFormat="1" ht="31" x14ac:dyDescent="0.35">
      <c r="A169" s="79" t="s">
        <v>218</v>
      </c>
      <c r="B169" s="80" t="s">
        <v>219</v>
      </c>
      <c r="C169" s="80" t="s">
        <v>294</v>
      </c>
      <c r="D169" s="80"/>
      <c r="E169" s="80"/>
      <c r="F169" s="80"/>
      <c r="G169" s="80"/>
      <c r="H169" s="80" t="s">
        <v>297</v>
      </c>
      <c r="I169" s="80"/>
      <c r="J169" s="80"/>
      <c r="K169" s="80"/>
      <c r="L169" s="80"/>
      <c r="M169" s="80"/>
      <c r="N169" s="80"/>
      <c r="O169" s="81"/>
      <c r="P169" s="81"/>
      <c r="Q169" s="82"/>
      <c r="R169" s="82"/>
      <c r="S169" s="82"/>
      <c r="T169" s="82"/>
      <c r="U169" s="82"/>
      <c r="V169" s="82"/>
      <c r="W169" s="82"/>
      <c r="X169" s="82"/>
      <c r="Y169" s="82"/>
      <c r="Z169" s="82"/>
      <c r="AA169" s="82"/>
      <c r="AB169" s="82"/>
      <c r="AC169" s="3"/>
    </row>
    <row r="170" spans="1:29" s="2" customFormat="1" ht="31" x14ac:dyDescent="0.35">
      <c r="A170" s="79" t="s">
        <v>218</v>
      </c>
      <c r="B170" s="80" t="s">
        <v>219</v>
      </c>
      <c r="C170" s="80" t="s">
        <v>294</v>
      </c>
      <c r="D170" s="80"/>
      <c r="E170" s="80"/>
      <c r="F170" s="80"/>
      <c r="G170" s="80"/>
      <c r="H170" s="80" t="s">
        <v>298</v>
      </c>
      <c r="I170" s="80"/>
      <c r="J170" s="80"/>
      <c r="K170" s="80"/>
      <c r="L170" s="80"/>
      <c r="M170" s="80"/>
      <c r="N170" s="80"/>
      <c r="O170" s="81"/>
      <c r="P170" s="81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3"/>
    </row>
    <row r="171" spans="1:29" ht="46.5" x14ac:dyDescent="0.35">
      <c r="A171" s="71" t="s">
        <v>218</v>
      </c>
      <c r="B171" s="83" t="s">
        <v>219</v>
      </c>
      <c r="C171" s="84" t="s">
        <v>299</v>
      </c>
      <c r="D171" s="89" t="s">
        <v>114</v>
      </c>
      <c r="E171" s="84"/>
      <c r="F171" s="84"/>
      <c r="G171" s="84"/>
      <c r="H171" s="83" t="s">
        <v>300</v>
      </c>
      <c r="I171" s="84" t="s">
        <v>222</v>
      </c>
      <c r="J171" s="83" t="s">
        <v>43</v>
      </c>
      <c r="K171" s="83" t="s">
        <v>43</v>
      </c>
      <c r="L171" s="83"/>
      <c r="M171" s="83" t="s">
        <v>44</v>
      </c>
      <c r="N171" s="86" t="s">
        <v>301</v>
      </c>
      <c r="O171" s="86">
        <v>2400</v>
      </c>
      <c r="P171" s="86"/>
      <c r="Q171" s="87"/>
      <c r="R171" s="93" t="s">
        <v>45</v>
      </c>
      <c r="S171" s="87"/>
      <c r="T171" s="87"/>
      <c r="U171" s="87"/>
      <c r="V171" s="87"/>
      <c r="W171" s="87"/>
      <c r="X171" s="93" t="s">
        <v>189</v>
      </c>
      <c r="Y171" s="87"/>
      <c r="Z171" s="87"/>
      <c r="AA171" s="87"/>
      <c r="AB171" s="87"/>
      <c r="AC171" s="8"/>
    </row>
    <row r="172" spans="1:29" s="2" customFormat="1" ht="31" x14ac:dyDescent="0.35">
      <c r="A172" s="79" t="s">
        <v>218</v>
      </c>
      <c r="B172" s="80" t="s">
        <v>219</v>
      </c>
      <c r="C172" s="80" t="s">
        <v>299</v>
      </c>
      <c r="D172" s="80"/>
      <c r="E172" s="80"/>
      <c r="F172" s="80"/>
      <c r="G172" s="80"/>
      <c r="H172" s="80" t="s">
        <v>302</v>
      </c>
      <c r="I172" s="80"/>
      <c r="J172" s="80"/>
      <c r="K172" s="80"/>
      <c r="L172" s="80"/>
      <c r="M172" s="80"/>
      <c r="N172" s="80"/>
      <c r="O172" s="81"/>
      <c r="P172" s="81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3"/>
    </row>
    <row r="173" spans="1:29" s="2" customFormat="1" ht="31" x14ac:dyDescent="0.35">
      <c r="A173" s="79" t="s">
        <v>218</v>
      </c>
      <c r="B173" s="80" t="s">
        <v>219</v>
      </c>
      <c r="C173" s="80" t="s">
        <v>299</v>
      </c>
      <c r="D173" s="80"/>
      <c r="E173" s="80"/>
      <c r="F173" s="80"/>
      <c r="G173" s="80"/>
      <c r="H173" s="80" t="s">
        <v>303</v>
      </c>
      <c r="I173" s="80"/>
      <c r="J173" s="80"/>
      <c r="K173" s="80"/>
      <c r="L173" s="80"/>
      <c r="M173" s="80"/>
      <c r="N173" s="80"/>
      <c r="O173" s="81"/>
      <c r="P173" s="81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3"/>
    </row>
    <row r="174" spans="1:29" s="2" customFormat="1" ht="31" x14ac:dyDescent="0.35">
      <c r="A174" s="79" t="s">
        <v>218</v>
      </c>
      <c r="B174" s="80" t="s">
        <v>219</v>
      </c>
      <c r="C174" s="80" t="s">
        <v>299</v>
      </c>
      <c r="D174" s="80"/>
      <c r="E174" s="80"/>
      <c r="F174" s="80"/>
      <c r="G174" s="80"/>
      <c r="H174" s="80" t="s">
        <v>304</v>
      </c>
      <c r="I174" s="80"/>
      <c r="J174" s="80"/>
      <c r="K174" s="80"/>
      <c r="L174" s="80"/>
      <c r="M174" s="80"/>
      <c r="N174" s="80"/>
      <c r="O174" s="81"/>
      <c r="P174" s="81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3"/>
    </row>
    <row r="175" spans="1:29" s="2" customFormat="1" ht="31" x14ac:dyDescent="0.35">
      <c r="A175" s="79" t="s">
        <v>218</v>
      </c>
      <c r="B175" s="80" t="s">
        <v>219</v>
      </c>
      <c r="C175" s="80" t="s">
        <v>299</v>
      </c>
      <c r="D175" s="80"/>
      <c r="E175" s="80"/>
      <c r="F175" s="80"/>
      <c r="G175" s="80"/>
      <c r="H175" s="80" t="s">
        <v>305</v>
      </c>
      <c r="I175" s="80"/>
      <c r="J175" s="80"/>
      <c r="K175" s="80"/>
      <c r="L175" s="80"/>
      <c r="M175" s="80"/>
      <c r="N175" s="80"/>
      <c r="O175" s="81"/>
      <c r="P175" s="81"/>
      <c r="Q175" s="82"/>
      <c r="R175" s="82"/>
      <c r="S175" s="82"/>
      <c r="T175" s="82"/>
      <c r="U175" s="82"/>
      <c r="V175" s="82"/>
      <c r="W175" s="82"/>
      <c r="X175" s="82"/>
      <c r="Y175" s="82"/>
      <c r="Z175" s="82"/>
      <c r="AA175" s="82"/>
      <c r="AB175" s="82"/>
      <c r="AC175" s="3"/>
    </row>
    <row r="176" spans="1:29" s="2" customFormat="1" ht="31" x14ac:dyDescent="0.35">
      <c r="A176" s="79" t="s">
        <v>218</v>
      </c>
      <c r="B176" s="80" t="s">
        <v>219</v>
      </c>
      <c r="C176" s="80" t="s">
        <v>299</v>
      </c>
      <c r="D176" s="80"/>
      <c r="E176" s="80"/>
      <c r="F176" s="80"/>
      <c r="G176" s="80"/>
      <c r="H176" s="80" t="s">
        <v>306</v>
      </c>
      <c r="I176" s="80"/>
      <c r="J176" s="80"/>
      <c r="K176" s="80"/>
      <c r="L176" s="80"/>
      <c r="M176" s="80"/>
      <c r="N176" s="80"/>
      <c r="O176" s="81"/>
      <c r="P176" s="81"/>
      <c r="Q176" s="82"/>
      <c r="R176" s="82"/>
      <c r="S176" s="82"/>
      <c r="T176" s="82"/>
      <c r="U176" s="82"/>
      <c r="V176" s="82"/>
      <c r="W176" s="82"/>
      <c r="X176" s="82"/>
      <c r="Y176" s="82"/>
      <c r="Z176" s="82"/>
      <c r="AA176" s="82"/>
      <c r="AB176" s="82"/>
      <c r="AC176" s="3"/>
    </row>
    <row r="177" spans="1:29" ht="46.5" x14ac:dyDescent="0.35">
      <c r="A177" s="71" t="s">
        <v>218</v>
      </c>
      <c r="B177" s="83" t="s">
        <v>219</v>
      </c>
      <c r="C177" s="84" t="s">
        <v>307</v>
      </c>
      <c r="D177" s="89" t="s">
        <v>40</v>
      </c>
      <c r="E177" s="84"/>
      <c r="F177" s="84"/>
      <c r="G177" s="84"/>
      <c r="H177" s="83" t="s">
        <v>308</v>
      </c>
      <c r="I177" s="84" t="s">
        <v>222</v>
      </c>
      <c r="J177" s="83" t="s">
        <v>309</v>
      </c>
      <c r="K177" s="83" t="s">
        <v>43</v>
      </c>
      <c r="L177" s="83"/>
      <c r="M177" s="83" t="s">
        <v>44</v>
      </c>
      <c r="N177" s="86">
        <v>1980</v>
      </c>
      <c r="O177" s="86">
        <v>2125</v>
      </c>
      <c r="P177" s="86"/>
      <c r="Q177" s="87"/>
      <c r="R177" s="93" t="s">
        <v>45</v>
      </c>
      <c r="S177" s="87"/>
      <c r="T177" s="87"/>
      <c r="U177" s="87"/>
      <c r="V177" s="87"/>
      <c r="W177" s="87"/>
      <c r="X177" s="93" t="s">
        <v>45</v>
      </c>
      <c r="Y177" s="87"/>
      <c r="Z177" s="87"/>
      <c r="AA177" s="87"/>
      <c r="AB177" s="87"/>
      <c r="AC177" s="8"/>
    </row>
    <row r="178" spans="1:29" s="2" customFormat="1" ht="31" x14ac:dyDescent="0.35">
      <c r="A178" s="79" t="s">
        <v>218</v>
      </c>
      <c r="B178" s="80" t="s">
        <v>219</v>
      </c>
      <c r="C178" s="80" t="s">
        <v>307</v>
      </c>
      <c r="D178" s="80"/>
      <c r="E178" s="80"/>
      <c r="F178" s="80"/>
      <c r="G178" s="80"/>
      <c r="H178" s="80" t="s">
        <v>310</v>
      </c>
      <c r="I178" s="80"/>
      <c r="J178" s="80"/>
      <c r="K178" s="80"/>
      <c r="L178" s="80"/>
      <c r="M178" s="80"/>
      <c r="N178" s="80"/>
      <c r="O178" s="81"/>
      <c r="P178" s="81"/>
      <c r="Q178" s="82"/>
      <c r="R178" s="82"/>
      <c r="S178" s="82"/>
      <c r="T178" s="82"/>
      <c r="U178" s="82"/>
      <c r="V178" s="82"/>
      <c r="W178" s="82"/>
      <c r="X178" s="82"/>
      <c r="Y178" s="82"/>
      <c r="Z178" s="82"/>
      <c r="AA178" s="82"/>
      <c r="AB178" s="82"/>
      <c r="AC178" s="3"/>
    </row>
    <row r="179" spans="1:29" s="2" customFormat="1" ht="31" x14ac:dyDescent="0.35">
      <c r="A179" s="79" t="s">
        <v>218</v>
      </c>
      <c r="B179" s="80" t="s">
        <v>219</v>
      </c>
      <c r="C179" s="80" t="s">
        <v>307</v>
      </c>
      <c r="D179" s="80"/>
      <c r="E179" s="80"/>
      <c r="F179" s="80"/>
      <c r="G179" s="80"/>
      <c r="H179" s="80" t="s">
        <v>311</v>
      </c>
      <c r="I179" s="80"/>
      <c r="J179" s="80"/>
      <c r="K179" s="80"/>
      <c r="L179" s="80"/>
      <c r="M179" s="80"/>
      <c r="N179" s="80"/>
      <c r="O179" s="81"/>
      <c r="P179" s="81"/>
      <c r="Q179" s="82"/>
      <c r="R179" s="82"/>
      <c r="S179" s="82"/>
      <c r="T179" s="82"/>
      <c r="U179" s="82"/>
      <c r="V179" s="82"/>
      <c r="W179" s="82"/>
      <c r="X179" s="82"/>
      <c r="Y179" s="82"/>
      <c r="Z179" s="82"/>
      <c r="AA179" s="82"/>
      <c r="AB179" s="82"/>
      <c r="AC179" s="3"/>
    </row>
    <row r="180" spans="1:29" ht="46.5" x14ac:dyDescent="0.35">
      <c r="A180" s="71" t="s">
        <v>218</v>
      </c>
      <c r="B180" s="83" t="s">
        <v>219</v>
      </c>
      <c r="C180" s="84" t="s">
        <v>312</v>
      </c>
      <c r="D180" s="84"/>
      <c r="E180" s="85" t="s">
        <v>40</v>
      </c>
      <c r="F180" s="84"/>
      <c r="G180" s="85" t="s">
        <v>40</v>
      </c>
      <c r="H180" s="83" t="s">
        <v>313</v>
      </c>
      <c r="I180" s="84" t="s">
        <v>222</v>
      </c>
      <c r="J180" s="83" t="s">
        <v>43</v>
      </c>
      <c r="K180" s="83" t="s">
        <v>43</v>
      </c>
      <c r="L180" s="83"/>
      <c r="M180" s="83" t="s">
        <v>44</v>
      </c>
      <c r="N180" s="86" t="s">
        <v>301</v>
      </c>
      <c r="O180" s="86">
        <v>2400</v>
      </c>
      <c r="P180" s="86"/>
      <c r="Q180" s="87"/>
      <c r="R180" s="183" t="s">
        <v>45</v>
      </c>
      <c r="S180" s="87"/>
      <c r="T180" s="87"/>
      <c r="U180" s="87"/>
      <c r="V180" s="87"/>
      <c r="W180" s="87"/>
      <c r="X180" s="78" t="s">
        <v>40</v>
      </c>
      <c r="Y180" s="87"/>
      <c r="Z180" s="87"/>
      <c r="AA180" s="87"/>
      <c r="AB180" s="87"/>
      <c r="AC180" s="8"/>
    </row>
    <row r="181" spans="1:29" s="2" customFormat="1" ht="31" x14ac:dyDescent="0.35">
      <c r="A181" s="79" t="s">
        <v>218</v>
      </c>
      <c r="B181" s="80" t="s">
        <v>219</v>
      </c>
      <c r="C181" s="80" t="s">
        <v>312</v>
      </c>
      <c r="D181" s="80"/>
      <c r="E181" s="80"/>
      <c r="F181" s="80"/>
      <c r="G181" s="80"/>
      <c r="H181" s="80" t="s">
        <v>314</v>
      </c>
      <c r="I181" s="80"/>
      <c r="J181" s="80"/>
      <c r="K181" s="80"/>
      <c r="L181" s="80"/>
      <c r="M181" s="80"/>
      <c r="N181" s="80"/>
      <c r="O181" s="81"/>
      <c r="P181" s="81"/>
      <c r="Q181" s="82"/>
      <c r="R181" s="82"/>
      <c r="S181" s="82"/>
      <c r="T181" s="82"/>
      <c r="U181" s="82"/>
      <c r="V181" s="82"/>
      <c r="W181" s="82"/>
      <c r="X181" s="82"/>
      <c r="Y181" s="82"/>
      <c r="Z181" s="82"/>
      <c r="AA181" s="82"/>
      <c r="AB181" s="82"/>
      <c r="AC181" s="3"/>
    </row>
    <row r="182" spans="1:29" s="2" customFormat="1" ht="31" x14ac:dyDescent="0.35">
      <c r="A182" s="79" t="s">
        <v>218</v>
      </c>
      <c r="B182" s="80" t="s">
        <v>219</v>
      </c>
      <c r="C182" s="80" t="s">
        <v>312</v>
      </c>
      <c r="D182" s="80"/>
      <c r="E182" s="80"/>
      <c r="F182" s="80"/>
      <c r="G182" s="80"/>
      <c r="H182" s="80" t="s">
        <v>315</v>
      </c>
      <c r="I182" s="80"/>
      <c r="J182" s="80"/>
      <c r="K182" s="80"/>
      <c r="L182" s="80"/>
      <c r="M182" s="80"/>
      <c r="N182" s="80"/>
      <c r="O182" s="81"/>
      <c r="P182" s="81"/>
      <c r="Q182" s="82"/>
      <c r="R182" s="82"/>
      <c r="S182" s="82"/>
      <c r="T182" s="82"/>
      <c r="U182" s="82"/>
      <c r="V182" s="82"/>
      <c r="W182" s="82"/>
      <c r="X182" s="82"/>
      <c r="Y182" s="82"/>
      <c r="Z182" s="82"/>
      <c r="AA182" s="82"/>
      <c r="AB182" s="82"/>
      <c r="AC182" s="3"/>
    </row>
    <row r="183" spans="1:29" s="2" customFormat="1" ht="31" x14ac:dyDescent="0.35">
      <c r="A183" s="79" t="s">
        <v>218</v>
      </c>
      <c r="B183" s="80" t="s">
        <v>219</v>
      </c>
      <c r="C183" s="80" t="s">
        <v>312</v>
      </c>
      <c r="D183" s="80"/>
      <c r="E183" s="80"/>
      <c r="F183" s="80"/>
      <c r="G183" s="80"/>
      <c r="H183" s="80" t="s">
        <v>316</v>
      </c>
      <c r="I183" s="80"/>
      <c r="J183" s="80"/>
      <c r="K183" s="80"/>
      <c r="L183" s="80"/>
      <c r="M183" s="80"/>
      <c r="N183" s="80"/>
      <c r="O183" s="81"/>
      <c r="P183" s="81"/>
      <c r="Q183" s="82"/>
      <c r="R183" s="82"/>
      <c r="S183" s="82"/>
      <c r="T183" s="82"/>
      <c r="U183" s="82"/>
      <c r="V183" s="82"/>
      <c r="W183" s="82"/>
      <c r="X183" s="82"/>
      <c r="Y183" s="82"/>
      <c r="Z183" s="82"/>
      <c r="AA183" s="82"/>
      <c r="AB183" s="82"/>
      <c r="AC183" s="3"/>
    </row>
    <row r="184" spans="1:29" s="2" customFormat="1" ht="31" x14ac:dyDescent="0.35">
      <c r="A184" s="79" t="s">
        <v>218</v>
      </c>
      <c r="B184" s="80" t="s">
        <v>219</v>
      </c>
      <c r="C184" s="80" t="s">
        <v>312</v>
      </c>
      <c r="D184" s="80"/>
      <c r="E184" s="80"/>
      <c r="F184" s="80"/>
      <c r="G184" s="80"/>
      <c r="H184" s="80" t="s">
        <v>317</v>
      </c>
      <c r="I184" s="80"/>
      <c r="J184" s="80"/>
      <c r="K184" s="80"/>
      <c r="L184" s="80"/>
      <c r="M184" s="80"/>
      <c r="N184" s="80"/>
      <c r="O184" s="81"/>
      <c r="P184" s="81"/>
      <c r="Q184" s="82"/>
      <c r="R184" s="82"/>
      <c r="S184" s="82"/>
      <c r="T184" s="82"/>
      <c r="U184" s="82"/>
      <c r="V184" s="82"/>
      <c r="W184" s="82"/>
      <c r="X184" s="82"/>
      <c r="Y184" s="82"/>
      <c r="Z184" s="82"/>
      <c r="AA184" s="82"/>
      <c r="AB184" s="82"/>
      <c r="AC184" s="3"/>
    </row>
    <row r="185" spans="1:29" s="2" customFormat="1" ht="31" x14ac:dyDescent="0.35">
      <c r="A185" s="79" t="s">
        <v>218</v>
      </c>
      <c r="B185" s="80" t="s">
        <v>219</v>
      </c>
      <c r="C185" s="80" t="s">
        <v>312</v>
      </c>
      <c r="D185" s="80"/>
      <c r="E185" s="80"/>
      <c r="F185" s="80"/>
      <c r="G185" s="80"/>
      <c r="H185" s="80" t="s">
        <v>318</v>
      </c>
      <c r="I185" s="80"/>
      <c r="J185" s="80"/>
      <c r="K185" s="80"/>
      <c r="L185" s="80"/>
      <c r="M185" s="80"/>
      <c r="N185" s="80"/>
      <c r="O185" s="81"/>
      <c r="P185" s="81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3"/>
    </row>
    <row r="186" spans="1:29" s="2" customFormat="1" ht="31" x14ac:dyDescent="0.35">
      <c r="A186" s="79" t="s">
        <v>218</v>
      </c>
      <c r="B186" s="80" t="s">
        <v>219</v>
      </c>
      <c r="C186" s="80" t="s">
        <v>312</v>
      </c>
      <c r="D186" s="80"/>
      <c r="E186" s="80"/>
      <c r="F186" s="80"/>
      <c r="G186" s="80"/>
      <c r="H186" s="80" t="s">
        <v>319</v>
      </c>
      <c r="I186" s="80"/>
      <c r="J186" s="80"/>
      <c r="K186" s="80"/>
      <c r="L186" s="80"/>
      <c r="M186" s="80"/>
      <c r="N186" s="80"/>
      <c r="O186" s="81"/>
      <c r="P186" s="81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3"/>
    </row>
    <row r="187" spans="1:29" s="2" customFormat="1" ht="31" x14ac:dyDescent="0.35">
      <c r="A187" s="79" t="s">
        <v>218</v>
      </c>
      <c r="B187" s="80" t="s">
        <v>219</v>
      </c>
      <c r="C187" s="80" t="s">
        <v>312</v>
      </c>
      <c r="D187" s="80"/>
      <c r="E187" s="80"/>
      <c r="F187" s="80"/>
      <c r="G187" s="80"/>
      <c r="H187" s="80" t="s">
        <v>320</v>
      </c>
      <c r="I187" s="80"/>
      <c r="J187" s="80"/>
      <c r="K187" s="80"/>
      <c r="L187" s="80"/>
      <c r="M187" s="80"/>
      <c r="N187" s="80"/>
      <c r="O187" s="81"/>
      <c r="P187" s="81"/>
      <c r="Q187" s="82"/>
      <c r="R187" s="82"/>
      <c r="S187" s="82"/>
      <c r="T187" s="82"/>
      <c r="U187" s="82"/>
      <c r="V187" s="82"/>
      <c r="W187" s="82"/>
      <c r="X187" s="82"/>
      <c r="Y187" s="82"/>
      <c r="Z187" s="82"/>
      <c r="AA187" s="82"/>
      <c r="AB187" s="82"/>
      <c r="AC187" s="3"/>
    </row>
    <row r="188" spans="1:29" s="2" customFormat="1" ht="31" x14ac:dyDescent="0.35">
      <c r="A188" s="79" t="s">
        <v>218</v>
      </c>
      <c r="B188" s="80" t="s">
        <v>219</v>
      </c>
      <c r="C188" s="80" t="s">
        <v>312</v>
      </c>
      <c r="D188" s="80"/>
      <c r="E188" s="80"/>
      <c r="F188" s="80"/>
      <c r="G188" s="80"/>
      <c r="H188" s="80" t="s">
        <v>321</v>
      </c>
      <c r="I188" s="80"/>
      <c r="J188" s="80"/>
      <c r="K188" s="80"/>
      <c r="L188" s="80"/>
      <c r="M188" s="80"/>
      <c r="N188" s="80"/>
      <c r="O188" s="81"/>
      <c r="P188" s="81"/>
      <c r="Q188" s="82"/>
      <c r="R188" s="82"/>
      <c r="S188" s="82"/>
      <c r="T188" s="82"/>
      <c r="U188" s="82"/>
      <c r="V188" s="82"/>
      <c r="W188" s="82"/>
      <c r="X188" s="82"/>
      <c r="Y188" s="82"/>
      <c r="Z188" s="82"/>
      <c r="AA188" s="82"/>
      <c r="AB188" s="82"/>
      <c r="AC188" s="3"/>
    </row>
    <row r="189" spans="1:29" s="2" customFormat="1" ht="31" x14ac:dyDescent="0.35">
      <c r="A189" s="79" t="s">
        <v>218</v>
      </c>
      <c r="B189" s="80" t="s">
        <v>219</v>
      </c>
      <c r="C189" s="80" t="s">
        <v>312</v>
      </c>
      <c r="D189" s="80"/>
      <c r="E189" s="80"/>
      <c r="F189" s="80"/>
      <c r="G189" s="80"/>
      <c r="H189" s="80" t="s">
        <v>322</v>
      </c>
      <c r="I189" s="80"/>
      <c r="J189" s="80"/>
      <c r="K189" s="80"/>
      <c r="L189" s="80"/>
      <c r="M189" s="80"/>
      <c r="N189" s="80"/>
      <c r="O189" s="81"/>
      <c r="P189" s="81"/>
      <c r="Q189" s="82"/>
      <c r="R189" s="82"/>
      <c r="S189" s="82"/>
      <c r="T189" s="82"/>
      <c r="U189" s="82"/>
      <c r="V189" s="82"/>
      <c r="W189" s="82"/>
      <c r="X189" s="82"/>
      <c r="Y189" s="82"/>
      <c r="Z189" s="82"/>
      <c r="AA189" s="82"/>
      <c r="AB189" s="82"/>
      <c r="AC189" s="3"/>
    </row>
    <row r="190" spans="1:29" s="2" customFormat="1" ht="31" x14ac:dyDescent="0.35">
      <c r="A190" s="79" t="s">
        <v>218</v>
      </c>
      <c r="B190" s="80" t="s">
        <v>219</v>
      </c>
      <c r="C190" s="80" t="s">
        <v>312</v>
      </c>
      <c r="D190" s="80"/>
      <c r="E190" s="80"/>
      <c r="F190" s="80"/>
      <c r="G190" s="80"/>
      <c r="H190" s="80" t="s">
        <v>323</v>
      </c>
      <c r="I190" s="80"/>
      <c r="J190" s="80"/>
      <c r="K190" s="80"/>
      <c r="L190" s="80"/>
      <c r="M190" s="80"/>
      <c r="N190" s="80"/>
      <c r="O190" s="81"/>
      <c r="P190" s="81"/>
      <c r="Q190" s="82"/>
      <c r="R190" s="82"/>
      <c r="S190" s="82"/>
      <c r="T190" s="82"/>
      <c r="U190" s="82"/>
      <c r="V190" s="82"/>
      <c r="W190" s="82"/>
      <c r="X190" s="82"/>
      <c r="Y190" s="82"/>
      <c r="Z190" s="82"/>
      <c r="AA190" s="82"/>
      <c r="AB190" s="82"/>
      <c r="AC190" s="3"/>
    </row>
    <row r="191" spans="1:29" s="2" customFormat="1" ht="31" x14ac:dyDescent="0.35">
      <c r="A191" s="79" t="s">
        <v>218</v>
      </c>
      <c r="B191" s="80" t="s">
        <v>219</v>
      </c>
      <c r="C191" s="80" t="s">
        <v>312</v>
      </c>
      <c r="D191" s="80"/>
      <c r="E191" s="80"/>
      <c r="F191" s="80"/>
      <c r="G191" s="80"/>
      <c r="H191" s="80" t="s">
        <v>324</v>
      </c>
      <c r="I191" s="80"/>
      <c r="J191" s="80"/>
      <c r="K191" s="80"/>
      <c r="L191" s="80"/>
      <c r="M191" s="80"/>
      <c r="N191" s="80"/>
      <c r="O191" s="81"/>
      <c r="P191" s="81"/>
      <c r="Q191" s="82"/>
      <c r="R191" s="82"/>
      <c r="S191" s="82"/>
      <c r="T191" s="82"/>
      <c r="U191" s="82"/>
      <c r="V191" s="82"/>
      <c r="W191" s="82"/>
      <c r="X191" s="82"/>
      <c r="Y191" s="82"/>
      <c r="Z191" s="82"/>
      <c r="AA191" s="82"/>
      <c r="AB191" s="82"/>
      <c r="AC191" s="3"/>
    </row>
    <row r="192" spans="1:29" s="2" customFormat="1" ht="31" x14ac:dyDescent="0.35">
      <c r="A192" s="79" t="s">
        <v>218</v>
      </c>
      <c r="B192" s="80" t="s">
        <v>219</v>
      </c>
      <c r="C192" s="80" t="s">
        <v>312</v>
      </c>
      <c r="D192" s="80"/>
      <c r="E192" s="80"/>
      <c r="F192" s="80"/>
      <c r="G192" s="80"/>
      <c r="H192" s="80" t="s">
        <v>325</v>
      </c>
      <c r="I192" s="80"/>
      <c r="J192" s="80"/>
      <c r="K192" s="80"/>
      <c r="L192" s="80"/>
      <c r="M192" s="80"/>
      <c r="N192" s="80"/>
      <c r="O192" s="81"/>
      <c r="P192" s="81"/>
      <c r="Q192" s="82"/>
      <c r="R192" s="82"/>
      <c r="S192" s="82"/>
      <c r="T192" s="82"/>
      <c r="U192" s="82"/>
      <c r="V192" s="82"/>
      <c r="W192" s="82"/>
      <c r="X192" s="82"/>
      <c r="Y192" s="82"/>
      <c r="Z192" s="82"/>
      <c r="AA192" s="82"/>
      <c r="AB192" s="82"/>
      <c r="AC192" s="3"/>
    </row>
    <row r="193" spans="1:29" s="2" customFormat="1" ht="31" x14ac:dyDescent="0.35">
      <c r="A193" s="79" t="s">
        <v>218</v>
      </c>
      <c r="B193" s="80" t="s">
        <v>219</v>
      </c>
      <c r="C193" s="80" t="s">
        <v>312</v>
      </c>
      <c r="D193" s="80"/>
      <c r="E193" s="80"/>
      <c r="F193" s="80"/>
      <c r="G193" s="80"/>
      <c r="H193" s="80" t="s">
        <v>326</v>
      </c>
      <c r="I193" s="80"/>
      <c r="J193" s="80"/>
      <c r="K193" s="80"/>
      <c r="L193" s="80"/>
      <c r="M193" s="80"/>
      <c r="N193" s="80"/>
      <c r="O193" s="81"/>
      <c r="P193" s="81"/>
      <c r="Q193" s="82"/>
      <c r="R193" s="82"/>
      <c r="S193" s="82"/>
      <c r="T193" s="82"/>
      <c r="U193" s="82"/>
      <c r="V193" s="82"/>
      <c r="W193" s="82"/>
      <c r="X193" s="82"/>
      <c r="Y193" s="82"/>
      <c r="Z193" s="82"/>
      <c r="AA193" s="82"/>
      <c r="AB193" s="82"/>
      <c r="AC193" s="3"/>
    </row>
    <row r="194" spans="1:29" s="2" customFormat="1" ht="31" x14ac:dyDescent="0.35">
      <c r="A194" s="79" t="s">
        <v>218</v>
      </c>
      <c r="B194" s="80" t="s">
        <v>219</v>
      </c>
      <c r="C194" s="80" t="s">
        <v>312</v>
      </c>
      <c r="D194" s="80"/>
      <c r="E194" s="80"/>
      <c r="F194" s="80"/>
      <c r="G194" s="80"/>
      <c r="H194" s="80" t="s">
        <v>327</v>
      </c>
      <c r="I194" s="80"/>
      <c r="J194" s="80"/>
      <c r="K194" s="80"/>
      <c r="L194" s="80"/>
      <c r="M194" s="80"/>
      <c r="N194" s="80"/>
      <c r="O194" s="81"/>
      <c r="P194" s="81"/>
      <c r="Q194" s="82"/>
      <c r="R194" s="82"/>
      <c r="S194" s="82"/>
      <c r="T194" s="82"/>
      <c r="U194" s="82"/>
      <c r="V194" s="82"/>
      <c r="W194" s="82"/>
      <c r="X194" s="82"/>
      <c r="Y194" s="82"/>
      <c r="Z194" s="82"/>
      <c r="AA194" s="82"/>
      <c r="AB194" s="82"/>
      <c r="AC194" s="3"/>
    </row>
    <row r="195" spans="1:29" s="2" customFormat="1" ht="31" x14ac:dyDescent="0.35">
      <c r="A195" s="79" t="s">
        <v>218</v>
      </c>
      <c r="B195" s="80" t="s">
        <v>219</v>
      </c>
      <c r="C195" s="80" t="s">
        <v>312</v>
      </c>
      <c r="D195" s="80"/>
      <c r="E195" s="80"/>
      <c r="F195" s="80"/>
      <c r="G195" s="80"/>
      <c r="H195" s="80" t="s">
        <v>328</v>
      </c>
      <c r="I195" s="80"/>
      <c r="J195" s="80"/>
      <c r="K195" s="80"/>
      <c r="L195" s="80"/>
      <c r="M195" s="80"/>
      <c r="N195" s="80"/>
      <c r="O195" s="81"/>
      <c r="P195" s="81"/>
      <c r="Q195" s="82"/>
      <c r="R195" s="82"/>
      <c r="S195" s="82"/>
      <c r="T195" s="82"/>
      <c r="U195" s="82"/>
      <c r="V195" s="82"/>
      <c r="W195" s="82"/>
      <c r="X195" s="82"/>
      <c r="Y195" s="82"/>
      <c r="Z195" s="82"/>
      <c r="AA195" s="82"/>
      <c r="AB195" s="82"/>
      <c r="AC195" s="3"/>
    </row>
    <row r="196" spans="1:29" s="2" customFormat="1" ht="31" x14ac:dyDescent="0.35">
      <c r="A196" s="79" t="s">
        <v>218</v>
      </c>
      <c r="B196" s="80" t="s">
        <v>219</v>
      </c>
      <c r="C196" s="80" t="s">
        <v>312</v>
      </c>
      <c r="D196" s="80"/>
      <c r="E196" s="80"/>
      <c r="F196" s="80"/>
      <c r="G196" s="80"/>
      <c r="H196" s="80" t="s">
        <v>329</v>
      </c>
      <c r="I196" s="80"/>
      <c r="J196" s="80"/>
      <c r="K196" s="80"/>
      <c r="L196" s="80"/>
      <c r="M196" s="80"/>
      <c r="N196" s="80"/>
      <c r="O196" s="81"/>
      <c r="P196" s="81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3"/>
    </row>
    <row r="197" spans="1:29" s="2" customFormat="1" ht="31" x14ac:dyDescent="0.35">
      <c r="A197" s="79" t="s">
        <v>218</v>
      </c>
      <c r="B197" s="80" t="s">
        <v>219</v>
      </c>
      <c r="C197" s="80" t="s">
        <v>312</v>
      </c>
      <c r="D197" s="80"/>
      <c r="E197" s="80"/>
      <c r="F197" s="80"/>
      <c r="G197" s="80"/>
      <c r="H197" s="80" t="s">
        <v>330</v>
      </c>
      <c r="I197" s="80"/>
      <c r="J197" s="80"/>
      <c r="K197" s="80"/>
      <c r="L197" s="80"/>
      <c r="M197" s="80"/>
      <c r="N197" s="80"/>
      <c r="O197" s="81"/>
      <c r="P197" s="81"/>
      <c r="Q197" s="82"/>
      <c r="R197" s="82"/>
      <c r="S197" s="82"/>
      <c r="T197" s="82"/>
      <c r="U197" s="82"/>
      <c r="V197" s="82"/>
      <c r="W197" s="82"/>
      <c r="X197" s="82"/>
      <c r="Y197" s="82"/>
      <c r="Z197" s="82"/>
      <c r="AA197" s="82"/>
      <c r="AB197" s="82"/>
      <c r="AC197" s="3"/>
    </row>
    <row r="198" spans="1:29" s="2" customFormat="1" ht="31" x14ac:dyDescent="0.35">
      <c r="A198" s="79" t="s">
        <v>218</v>
      </c>
      <c r="B198" s="80" t="s">
        <v>219</v>
      </c>
      <c r="C198" s="80" t="s">
        <v>312</v>
      </c>
      <c r="D198" s="80"/>
      <c r="E198" s="80"/>
      <c r="F198" s="80"/>
      <c r="G198" s="80"/>
      <c r="H198" s="80" t="s">
        <v>331</v>
      </c>
      <c r="I198" s="80"/>
      <c r="J198" s="80"/>
      <c r="K198" s="80"/>
      <c r="L198" s="80"/>
      <c r="M198" s="80"/>
      <c r="N198" s="80"/>
      <c r="O198" s="81"/>
      <c r="P198" s="81"/>
      <c r="Q198" s="82"/>
      <c r="R198" s="82"/>
      <c r="S198" s="82"/>
      <c r="T198" s="82"/>
      <c r="U198" s="82"/>
      <c r="V198" s="82"/>
      <c r="W198" s="82"/>
      <c r="X198" s="82"/>
      <c r="Y198" s="82"/>
      <c r="Z198" s="82"/>
      <c r="AA198" s="82"/>
      <c r="AB198" s="82"/>
      <c r="AC198" s="3"/>
    </row>
    <row r="199" spans="1:29" s="2" customFormat="1" ht="31" x14ac:dyDescent="0.35">
      <c r="A199" s="79" t="s">
        <v>218</v>
      </c>
      <c r="B199" s="80" t="s">
        <v>219</v>
      </c>
      <c r="C199" s="80" t="s">
        <v>312</v>
      </c>
      <c r="D199" s="80"/>
      <c r="E199" s="80"/>
      <c r="F199" s="80"/>
      <c r="G199" s="80"/>
      <c r="H199" s="80" t="s">
        <v>332</v>
      </c>
      <c r="I199" s="80"/>
      <c r="J199" s="80"/>
      <c r="K199" s="80"/>
      <c r="L199" s="80"/>
      <c r="M199" s="80"/>
      <c r="N199" s="80"/>
      <c r="O199" s="81"/>
      <c r="P199" s="81"/>
      <c r="Q199" s="82"/>
      <c r="R199" s="82"/>
      <c r="S199" s="82"/>
      <c r="T199" s="82"/>
      <c r="U199" s="82"/>
      <c r="V199" s="82"/>
      <c r="W199" s="82"/>
      <c r="X199" s="82"/>
      <c r="Y199" s="82"/>
      <c r="Z199" s="82"/>
      <c r="AA199" s="82"/>
      <c r="AB199" s="82"/>
      <c r="AC199" s="3"/>
    </row>
    <row r="200" spans="1:29" s="2" customFormat="1" ht="31" x14ac:dyDescent="0.35">
      <c r="A200" s="79" t="s">
        <v>218</v>
      </c>
      <c r="B200" s="80" t="s">
        <v>219</v>
      </c>
      <c r="C200" s="80" t="s">
        <v>312</v>
      </c>
      <c r="D200" s="80"/>
      <c r="E200" s="80"/>
      <c r="F200" s="80"/>
      <c r="G200" s="80"/>
      <c r="H200" s="80" t="s">
        <v>333</v>
      </c>
      <c r="I200" s="80"/>
      <c r="J200" s="80"/>
      <c r="K200" s="80"/>
      <c r="L200" s="80"/>
      <c r="M200" s="80"/>
      <c r="N200" s="80"/>
      <c r="O200" s="81"/>
      <c r="P200" s="81"/>
      <c r="Q200" s="82"/>
      <c r="R200" s="82"/>
      <c r="S200" s="82"/>
      <c r="T200" s="82"/>
      <c r="U200" s="82"/>
      <c r="V200" s="82"/>
      <c r="W200" s="82"/>
      <c r="X200" s="82"/>
      <c r="Y200" s="82"/>
      <c r="Z200" s="82"/>
      <c r="AA200" s="82"/>
      <c r="AB200" s="82"/>
      <c r="AC200" s="3"/>
    </row>
    <row r="201" spans="1:29" ht="46.5" x14ac:dyDescent="0.35">
      <c r="A201" s="71" t="s">
        <v>218</v>
      </c>
      <c r="B201" s="83" t="s">
        <v>219</v>
      </c>
      <c r="C201" s="84" t="s">
        <v>334</v>
      </c>
      <c r="D201" s="84"/>
      <c r="E201" s="85" t="s">
        <v>40</v>
      </c>
      <c r="F201" s="84"/>
      <c r="G201" s="85" t="s">
        <v>40</v>
      </c>
      <c r="H201" s="83" t="s">
        <v>50</v>
      </c>
      <c r="I201" s="84" t="s">
        <v>222</v>
      </c>
      <c r="J201" s="83" t="s">
        <v>43</v>
      </c>
      <c r="K201" s="83" t="s">
        <v>43</v>
      </c>
      <c r="L201" s="83"/>
      <c r="M201" s="83" t="s">
        <v>44</v>
      </c>
      <c r="N201" s="86" t="s">
        <v>301</v>
      </c>
      <c r="O201" s="86">
        <v>13200</v>
      </c>
      <c r="P201" s="86"/>
      <c r="Q201" s="87"/>
      <c r="R201" s="93" t="s">
        <v>45</v>
      </c>
      <c r="S201" s="87"/>
      <c r="T201" s="87"/>
      <c r="U201" s="87"/>
      <c r="V201" s="87"/>
      <c r="W201" s="87"/>
      <c r="X201" s="78" t="s">
        <v>40</v>
      </c>
      <c r="Y201" s="87"/>
      <c r="Z201" s="87"/>
      <c r="AA201" s="87"/>
      <c r="AB201" s="87"/>
      <c r="AC201" s="8"/>
    </row>
    <row r="202" spans="1:29" s="2" customFormat="1" ht="31" x14ac:dyDescent="0.35">
      <c r="A202" s="79" t="s">
        <v>218</v>
      </c>
      <c r="B202" s="80" t="s">
        <v>219</v>
      </c>
      <c r="C202" s="80" t="s">
        <v>334</v>
      </c>
      <c r="D202" s="80"/>
      <c r="E202" s="80"/>
      <c r="F202" s="80"/>
      <c r="G202" s="80"/>
      <c r="H202" s="80" t="s">
        <v>335</v>
      </c>
      <c r="I202" s="80"/>
      <c r="J202" s="80"/>
      <c r="K202" s="80"/>
      <c r="L202" s="80"/>
      <c r="M202" s="80"/>
      <c r="N202" s="80"/>
      <c r="O202" s="81"/>
      <c r="P202" s="81"/>
      <c r="Q202" s="82"/>
      <c r="R202" s="82"/>
      <c r="S202" s="82"/>
      <c r="T202" s="82"/>
      <c r="U202" s="82"/>
      <c r="V202" s="82"/>
      <c r="W202" s="82"/>
      <c r="X202" s="82"/>
      <c r="Y202" s="82"/>
      <c r="Z202" s="82"/>
      <c r="AA202" s="82"/>
      <c r="AB202" s="82"/>
      <c r="AC202" s="3"/>
    </row>
    <row r="203" spans="1:29" s="2" customFormat="1" ht="31" x14ac:dyDescent="0.35">
      <c r="A203" s="79" t="s">
        <v>218</v>
      </c>
      <c r="B203" s="80" t="s">
        <v>219</v>
      </c>
      <c r="C203" s="80" t="s">
        <v>334</v>
      </c>
      <c r="D203" s="80"/>
      <c r="E203" s="80"/>
      <c r="F203" s="80"/>
      <c r="G203" s="80"/>
      <c r="H203" s="80" t="s">
        <v>336</v>
      </c>
      <c r="I203" s="80"/>
      <c r="J203" s="80"/>
      <c r="K203" s="80"/>
      <c r="L203" s="80"/>
      <c r="M203" s="80"/>
      <c r="N203" s="80"/>
      <c r="O203" s="81"/>
      <c r="P203" s="81"/>
      <c r="Q203" s="82"/>
      <c r="R203" s="82"/>
      <c r="S203" s="82"/>
      <c r="T203" s="82"/>
      <c r="U203" s="82"/>
      <c r="V203" s="82"/>
      <c r="W203" s="82"/>
      <c r="X203" s="82"/>
      <c r="Y203" s="82"/>
      <c r="Z203" s="82"/>
      <c r="AA203" s="82"/>
      <c r="AB203" s="82"/>
      <c r="AC203" s="3"/>
    </row>
    <row r="204" spans="1:29" s="2" customFormat="1" ht="31" x14ac:dyDescent="0.35">
      <c r="A204" s="79" t="s">
        <v>218</v>
      </c>
      <c r="B204" s="80" t="s">
        <v>219</v>
      </c>
      <c r="C204" s="80" t="s">
        <v>334</v>
      </c>
      <c r="D204" s="80"/>
      <c r="E204" s="80"/>
      <c r="F204" s="80"/>
      <c r="G204" s="80"/>
      <c r="H204" s="80" t="s">
        <v>337</v>
      </c>
      <c r="I204" s="80"/>
      <c r="J204" s="80"/>
      <c r="K204" s="80"/>
      <c r="L204" s="80"/>
      <c r="M204" s="80"/>
      <c r="N204" s="80"/>
      <c r="O204" s="81"/>
      <c r="P204" s="81"/>
      <c r="Q204" s="82"/>
      <c r="R204" s="82"/>
      <c r="S204" s="82"/>
      <c r="T204" s="82"/>
      <c r="U204" s="82"/>
      <c r="V204" s="82"/>
      <c r="W204" s="82"/>
      <c r="X204" s="82"/>
      <c r="Y204" s="82"/>
      <c r="Z204" s="82"/>
      <c r="AA204" s="82"/>
      <c r="AB204" s="82"/>
      <c r="AC204" s="3"/>
    </row>
    <row r="205" spans="1:29" s="2" customFormat="1" ht="31" x14ac:dyDescent="0.35">
      <c r="A205" s="79" t="s">
        <v>218</v>
      </c>
      <c r="B205" s="80" t="s">
        <v>219</v>
      </c>
      <c r="C205" s="80" t="s">
        <v>334</v>
      </c>
      <c r="D205" s="80"/>
      <c r="E205" s="80"/>
      <c r="F205" s="80"/>
      <c r="G205" s="80"/>
      <c r="H205" s="80" t="s">
        <v>338</v>
      </c>
      <c r="I205" s="80"/>
      <c r="J205" s="80"/>
      <c r="K205" s="80"/>
      <c r="L205" s="80"/>
      <c r="M205" s="80"/>
      <c r="N205" s="80"/>
      <c r="O205" s="81"/>
      <c r="P205" s="81"/>
      <c r="Q205" s="82"/>
      <c r="R205" s="82"/>
      <c r="S205" s="82"/>
      <c r="T205" s="82"/>
      <c r="U205" s="82"/>
      <c r="V205" s="82"/>
      <c r="W205" s="82"/>
      <c r="X205" s="82"/>
      <c r="Y205" s="82"/>
      <c r="Z205" s="82"/>
      <c r="AA205" s="82"/>
      <c r="AB205" s="82"/>
      <c r="AC205" s="3"/>
    </row>
    <row r="206" spans="1:29" s="2" customFormat="1" ht="31" x14ac:dyDescent="0.35">
      <c r="A206" s="79" t="s">
        <v>218</v>
      </c>
      <c r="B206" s="80" t="s">
        <v>219</v>
      </c>
      <c r="C206" s="80" t="s">
        <v>334</v>
      </c>
      <c r="D206" s="80"/>
      <c r="E206" s="80"/>
      <c r="F206" s="80"/>
      <c r="G206" s="80"/>
      <c r="H206" s="80" t="s">
        <v>339</v>
      </c>
      <c r="I206" s="80"/>
      <c r="J206" s="80"/>
      <c r="K206" s="80"/>
      <c r="L206" s="80"/>
      <c r="M206" s="80"/>
      <c r="N206" s="80"/>
      <c r="O206" s="81"/>
      <c r="P206" s="81"/>
      <c r="Q206" s="82"/>
      <c r="R206" s="82"/>
      <c r="S206" s="82"/>
      <c r="T206" s="82"/>
      <c r="U206" s="82"/>
      <c r="V206" s="82"/>
      <c r="W206" s="82"/>
      <c r="X206" s="82"/>
      <c r="Y206" s="82"/>
      <c r="Z206" s="82"/>
      <c r="AA206" s="82"/>
      <c r="AB206" s="82"/>
      <c r="AC206" s="3"/>
    </row>
    <row r="207" spans="1:29" s="2" customFormat="1" ht="31" x14ac:dyDescent="0.35">
      <c r="A207" s="79" t="s">
        <v>218</v>
      </c>
      <c r="B207" s="80" t="s">
        <v>219</v>
      </c>
      <c r="C207" s="80" t="s">
        <v>334</v>
      </c>
      <c r="D207" s="80"/>
      <c r="E207" s="80"/>
      <c r="F207" s="80"/>
      <c r="G207" s="80"/>
      <c r="H207" s="80" t="s">
        <v>340</v>
      </c>
      <c r="I207" s="80"/>
      <c r="J207" s="80"/>
      <c r="K207" s="80"/>
      <c r="L207" s="80"/>
      <c r="M207" s="80"/>
      <c r="N207" s="80"/>
      <c r="O207" s="81"/>
      <c r="P207" s="81"/>
      <c r="Q207" s="82"/>
      <c r="R207" s="82"/>
      <c r="S207" s="82"/>
      <c r="T207" s="82"/>
      <c r="U207" s="82"/>
      <c r="V207" s="82"/>
      <c r="W207" s="82"/>
      <c r="X207" s="82"/>
      <c r="Y207" s="82"/>
      <c r="Z207" s="82"/>
      <c r="AA207" s="82"/>
      <c r="AB207" s="82"/>
      <c r="AC207" s="3"/>
    </row>
    <row r="208" spans="1:29" s="2" customFormat="1" ht="31" x14ac:dyDescent="0.35">
      <c r="A208" s="79" t="s">
        <v>218</v>
      </c>
      <c r="B208" s="80" t="s">
        <v>219</v>
      </c>
      <c r="C208" s="80" t="s">
        <v>334</v>
      </c>
      <c r="D208" s="80"/>
      <c r="E208" s="80"/>
      <c r="F208" s="80"/>
      <c r="G208" s="80"/>
      <c r="H208" s="80" t="s">
        <v>341</v>
      </c>
      <c r="I208" s="80"/>
      <c r="J208" s="80"/>
      <c r="K208" s="80"/>
      <c r="L208" s="80"/>
      <c r="M208" s="80"/>
      <c r="N208" s="80"/>
      <c r="O208" s="81"/>
      <c r="P208" s="81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3"/>
    </row>
    <row r="209" spans="1:29" s="2" customFormat="1" ht="31" x14ac:dyDescent="0.35">
      <c r="A209" s="79" t="s">
        <v>218</v>
      </c>
      <c r="B209" s="80" t="s">
        <v>219</v>
      </c>
      <c r="C209" s="80" t="s">
        <v>334</v>
      </c>
      <c r="D209" s="80"/>
      <c r="E209" s="80"/>
      <c r="F209" s="80"/>
      <c r="G209" s="80"/>
      <c r="H209" s="80" t="s">
        <v>342</v>
      </c>
      <c r="I209" s="80"/>
      <c r="J209" s="80"/>
      <c r="K209" s="80"/>
      <c r="L209" s="80"/>
      <c r="M209" s="80"/>
      <c r="N209" s="80"/>
      <c r="O209" s="81"/>
      <c r="P209" s="81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3"/>
    </row>
    <row r="210" spans="1:29" s="2" customFormat="1" ht="31" x14ac:dyDescent="0.35">
      <c r="A210" s="79" t="s">
        <v>218</v>
      </c>
      <c r="B210" s="80" t="s">
        <v>219</v>
      </c>
      <c r="C210" s="80" t="s">
        <v>334</v>
      </c>
      <c r="D210" s="80"/>
      <c r="E210" s="80"/>
      <c r="F210" s="80"/>
      <c r="G210" s="80"/>
      <c r="H210" s="80" t="s">
        <v>343</v>
      </c>
      <c r="I210" s="80"/>
      <c r="J210" s="80"/>
      <c r="K210" s="80"/>
      <c r="L210" s="80"/>
      <c r="M210" s="80"/>
      <c r="N210" s="80"/>
      <c r="O210" s="81"/>
      <c r="P210" s="81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3"/>
    </row>
    <row r="211" spans="1:29" s="2" customFormat="1" ht="31" x14ac:dyDescent="0.35">
      <c r="A211" s="79" t="s">
        <v>218</v>
      </c>
      <c r="B211" s="80" t="s">
        <v>219</v>
      </c>
      <c r="C211" s="80" t="s">
        <v>334</v>
      </c>
      <c r="D211" s="80"/>
      <c r="E211" s="80"/>
      <c r="F211" s="80"/>
      <c r="G211" s="80"/>
      <c r="H211" s="80" t="s">
        <v>344</v>
      </c>
      <c r="I211" s="80"/>
      <c r="J211" s="80"/>
      <c r="K211" s="80"/>
      <c r="L211" s="80"/>
      <c r="M211" s="80"/>
      <c r="N211" s="80"/>
      <c r="O211" s="81"/>
      <c r="P211" s="81"/>
      <c r="Q211" s="82"/>
      <c r="R211" s="82"/>
      <c r="S211" s="82"/>
      <c r="T211" s="82"/>
      <c r="U211" s="82"/>
      <c r="V211" s="82"/>
      <c r="W211" s="82"/>
      <c r="X211" s="82"/>
      <c r="Y211" s="82"/>
      <c r="Z211" s="82"/>
      <c r="AA211" s="82"/>
      <c r="AB211" s="82"/>
      <c r="AC211" s="3"/>
    </row>
    <row r="212" spans="1:29" s="2" customFormat="1" ht="31" x14ac:dyDescent="0.35">
      <c r="A212" s="79" t="s">
        <v>218</v>
      </c>
      <c r="B212" s="80" t="s">
        <v>219</v>
      </c>
      <c r="C212" s="80" t="s">
        <v>334</v>
      </c>
      <c r="D212" s="80"/>
      <c r="E212" s="80"/>
      <c r="F212" s="80"/>
      <c r="G212" s="80"/>
      <c r="H212" s="80" t="s">
        <v>345</v>
      </c>
      <c r="I212" s="80"/>
      <c r="J212" s="80"/>
      <c r="K212" s="80"/>
      <c r="L212" s="80"/>
      <c r="M212" s="80"/>
      <c r="N212" s="80"/>
      <c r="O212" s="81"/>
      <c r="P212" s="81"/>
      <c r="Q212" s="82"/>
      <c r="R212" s="82"/>
      <c r="S212" s="82"/>
      <c r="T212" s="82"/>
      <c r="U212" s="82"/>
      <c r="V212" s="82"/>
      <c r="W212" s="82"/>
      <c r="X212" s="82"/>
      <c r="Y212" s="82"/>
      <c r="Z212" s="82"/>
      <c r="AA212" s="82"/>
      <c r="AB212" s="82"/>
      <c r="AC212" s="3"/>
    </row>
    <row r="213" spans="1:29" s="2" customFormat="1" ht="31" x14ac:dyDescent="0.35">
      <c r="A213" s="79" t="s">
        <v>218</v>
      </c>
      <c r="B213" s="80" t="s">
        <v>219</v>
      </c>
      <c r="C213" s="80" t="s">
        <v>334</v>
      </c>
      <c r="D213" s="80"/>
      <c r="E213" s="80"/>
      <c r="F213" s="80"/>
      <c r="G213" s="80"/>
      <c r="H213" s="80" t="s">
        <v>346</v>
      </c>
      <c r="I213" s="80"/>
      <c r="J213" s="80"/>
      <c r="K213" s="80"/>
      <c r="L213" s="80"/>
      <c r="M213" s="80"/>
      <c r="N213" s="80"/>
      <c r="O213" s="81"/>
      <c r="P213" s="81"/>
      <c r="Q213" s="82"/>
      <c r="R213" s="82"/>
      <c r="S213" s="82"/>
      <c r="T213" s="82"/>
      <c r="U213" s="82"/>
      <c r="V213" s="82"/>
      <c r="W213" s="82"/>
      <c r="X213" s="82"/>
      <c r="Y213" s="82"/>
      <c r="Z213" s="82"/>
      <c r="AA213" s="82"/>
      <c r="AB213" s="82"/>
      <c r="AC213" s="3"/>
    </row>
    <row r="214" spans="1:29" s="2" customFormat="1" ht="31" x14ac:dyDescent="0.35">
      <c r="A214" s="79" t="s">
        <v>218</v>
      </c>
      <c r="B214" s="80" t="s">
        <v>219</v>
      </c>
      <c r="C214" s="80" t="s">
        <v>334</v>
      </c>
      <c r="D214" s="80"/>
      <c r="E214" s="80"/>
      <c r="F214" s="80"/>
      <c r="G214" s="80"/>
      <c r="H214" s="80" t="s">
        <v>335</v>
      </c>
      <c r="I214" s="80"/>
      <c r="J214" s="80"/>
      <c r="K214" s="80"/>
      <c r="L214" s="80"/>
      <c r="M214" s="80"/>
      <c r="N214" s="80"/>
      <c r="O214" s="81"/>
      <c r="P214" s="81"/>
      <c r="Q214" s="82"/>
      <c r="R214" s="82"/>
      <c r="S214" s="82"/>
      <c r="T214" s="82"/>
      <c r="U214" s="82"/>
      <c r="V214" s="82"/>
      <c r="W214" s="82"/>
      <c r="X214" s="82"/>
      <c r="Y214" s="82"/>
      <c r="Z214" s="82"/>
      <c r="AA214" s="82"/>
      <c r="AB214" s="82"/>
      <c r="AC214" s="3"/>
    </row>
    <row r="215" spans="1:29" s="2" customFormat="1" ht="31" x14ac:dyDescent="0.35">
      <c r="A215" s="79" t="s">
        <v>218</v>
      </c>
      <c r="B215" s="80" t="s">
        <v>219</v>
      </c>
      <c r="C215" s="80" t="s">
        <v>334</v>
      </c>
      <c r="D215" s="80"/>
      <c r="E215" s="80"/>
      <c r="F215" s="80"/>
      <c r="G215" s="80"/>
      <c r="H215" s="80" t="s">
        <v>347</v>
      </c>
      <c r="I215" s="80"/>
      <c r="J215" s="80"/>
      <c r="K215" s="80"/>
      <c r="L215" s="80"/>
      <c r="M215" s="80"/>
      <c r="N215" s="80"/>
      <c r="O215" s="81"/>
      <c r="P215" s="81"/>
      <c r="Q215" s="82"/>
      <c r="R215" s="82"/>
      <c r="S215" s="82"/>
      <c r="T215" s="82"/>
      <c r="U215" s="82"/>
      <c r="V215" s="82"/>
      <c r="W215" s="82"/>
      <c r="X215" s="82"/>
      <c r="Y215" s="82"/>
      <c r="Z215" s="82"/>
      <c r="AA215" s="82"/>
      <c r="AB215" s="82"/>
      <c r="AC215" s="3"/>
    </row>
    <row r="216" spans="1:29" s="2" customFormat="1" ht="31" x14ac:dyDescent="0.35">
      <c r="A216" s="79" t="s">
        <v>218</v>
      </c>
      <c r="B216" s="80" t="s">
        <v>219</v>
      </c>
      <c r="C216" s="80" t="s">
        <v>334</v>
      </c>
      <c r="D216" s="80"/>
      <c r="E216" s="80"/>
      <c r="F216" s="80"/>
      <c r="G216" s="80"/>
      <c r="H216" s="80" t="s">
        <v>348</v>
      </c>
      <c r="I216" s="80"/>
      <c r="J216" s="80"/>
      <c r="K216" s="80"/>
      <c r="L216" s="80"/>
      <c r="M216" s="80"/>
      <c r="N216" s="80"/>
      <c r="O216" s="81"/>
      <c r="P216" s="81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3"/>
    </row>
    <row r="217" spans="1:29" s="2" customFormat="1" ht="31" x14ac:dyDescent="0.35">
      <c r="A217" s="79" t="s">
        <v>218</v>
      </c>
      <c r="B217" s="80" t="s">
        <v>219</v>
      </c>
      <c r="C217" s="80" t="s">
        <v>334</v>
      </c>
      <c r="D217" s="80"/>
      <c r="E217" s="80"/>
      <c r="F217" s="80"/>
      <c r="G217" s="80"/>
      <c r="H217" s="80" t="s">
        <v>349</v>
      </c>
      <c r="I217" s="80"/>
      <c r="J217" s="80"/>
      <c r="K217" s="80"/>
      <c r="L217" s="80"/>
      <c r="M217" s="80"/>
      <c r="N217" s="80"/>
      <c r="O217" s="81"/>
      <c r="P217" s="81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3"/>
    </row>
    <row r="218" spans="1:29" s="2" customFormat="1" ht="31" x14ac:dyDescent="0.35">
      <c r="A218" s="79" t="s">
        <v>218</v>
      </c>
      <c r="B218" s="80" t="s">
        <v>219</v>
      </c>
      <c r="C218" s="80" t="s">
        <v>334</v>
      </c>
      <c r="D218" s="80"/>
      <c r="E218" s="80"/>
      <c r="F218" s="80"/>
      <c r="G218" s="80"/>
      <c r="H218" s="80" t="s">
        <v>350</v>
      </c>
      <c r="I218" s="80"/>
      <c r="J218" s="80"/>
      <c r="K218" s="80"/>
      <c r="L218" s="80"/>
      <c r="M218" s="80"/>
      <c r="N218" s="80"/>
      <c r="O218" s="81"/>
      <c r="P218" s="81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3"/>
    </row>
    <row r="219" spans="1:29" s="2" customFormat="1" ht="31" x14ac:dyDescent="0.35">
      <c r="A219" s="79" t="s">
        <v>218</v>
      </c>
      <c r="B219" s="80" t="s">
        <v>219</v>
      </c>
      <c r="C219" s="80" t="s">
        <v>334</v>
      </c>
      <c r="D219" s="80"/>
      <c r="E219" s="80"/>
      <c r="F219" s="80"/>
      <c r="G219" s="80"/>
      <c r="H219" s="80" t="s">
        <v>351</v>
      </c>
      <c r="I219" s="80"/>
      <c r="J219" s="80"/>
      <c r="K219" s="80"/>
      <c r="L219" s="80"/>
      <c r="M219" s="80"/>
      <c r="N219" s="80"/>
      <c r="O219" s="81"/>
      <c r="P219" s="81"/>
      <c r="Q219" s="82"/>
      <c r="R219" s="82"/>
      <c r="S219" s="82"/>
      <c r="T219" s="82"/>
      <c r="U219" s="82"/>
      <c r="V219" s="82"/>
      <c r="W219" s="82"/>
      <c r="X219" s="82"/>
      <c r="Y219" s="82"/>
      <c r="Z219" s="82"/>
      <c r="AA219" s="82"/>
      <c r="AB219" s="82"/>
      <c r="AC219" s="3"/>
    </row>
    <row r="220" spans="1:29" s="2" customFormat="1" ht="31" x14ac:dyDescent="0.35">
      <c r="A220" s="79" t="s">
        <v>218</v>
      </c>
      <c r="B220" s="80" t="s">
        <v>219</v>
      </c>
      <c r="C220" s="80" t="s">
        <v>334</v>
      </c>
      <c r="D220" s="80"/>
      <c r="E220" s="80"/>
      <c r="F220" s="80"/>
      <c r="G220" s="80"/>
      <c r="H220" s="80" t="s">
        <v>352</v>
      </c>
      <c r="I220" s="80"/>
      <c r="J220" s="80"/>
      <c r="K220" s="80"/>
      <c r="L220" s="80"/>
      <c r="M220" s="80"/>
      <c r="N220" s="80"/>
      <c r="O220" s="81"/>
      <c r="P220" s="81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3"/>
    </row>
    <row r="221" spans="1:29" s="2" customFormat="1" ht="31" x14ac:dyDescent="0.35">
      <c r="A221" s="79" t="s">
        <v>218</v>
      </c>
      <c r="B221" s="80" t="s">
        <v>219</v>
      </c>
      <c r="C221" s="80" t="s">
        <v>334</v>
      </c>
      <c r="D221" s="80"/>
      <c r="E221" s="80"/>
      <c r="F221" s="80"/>
      <c r="G221" s="80"/>
      <c r="H221" s="80" t="s">
        <v>353</v>
      </c>
      <c r="I221" s="80"/>
      <c r="J221" s="80"/>
      <c r="K221" s="80"/>
      <c r="L221" s="80"/>
      <c r="M221" s="80"/>
      <c r="N221" s="80"/>
      <c r="O221" s="81"/>
      <c r="P221" s="81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3"/>
    </row>
    <row r="222" spans="1:29" s="2" customFormat="1" ht="31" x14ac:dyDescent="0.35">
      <c r="A222" s="79" t="s">
        <v>218</v>
      </c>
      <c r="B222" s="80" t="s">
        <v>219</v>
      </c>
      <c r="C222" s="80" t="s">
        <v>334</v>
      </c>
      <c r="D222" s="80"/>
      <c r="E222" s="80"/>
      <c r="F222" s="80"/>
      <c r="G222" s="80"/>
      <c r="H222" s="80" t="s">
        <v>354</v>
      </c>
      <c r="I222" s="80"/>
      <c r="J222" s="80"/>
      <c r="K222" s="80"/>
      <c r="L222" s="80"/>
      <c r="M222" s="80"/>
      <c r="N222" s="80"/>
      <c r="O222" s="81"/>
      <c r="P222" s="81"/>
      <c r="Q222" s="82"/>
      <c r="R222" s="82"/>
      <c r="S222" s="82"/>
      <c r="T222" s="82"/>
      <c r="U222" s="82"/>
      <c r="V222" s="82"/>
      <c r="W222" s="82"/>
      <c r="X222" s="82"/>
      <c r="Y222" s="82"/>
      <c r="Z222" s="82"/>
      <c r="AA222" s="82"/>
      <c r="AB222" s="82"/>
      <c r="AC222" s="3"/>
    </row>
    <row r="223" spans="1:29" ht="46.5" x14ac:dyDescent="0.35">
      <c r="A223" s="71" t="s">
        <v>218</v>
      </c>
      <c r="B223" s="83" t="s">
        <v>219</v>
      </c>
      <c r="C223" s="84" t="s">
        <v>355</v>
      </c>
      <c r="D223" s="84"/>
      <c r="E223" s="85" t="s">
        <v>40</v>
      </c>
      <c r="F223" s="84"/>
      <c r="G223" s="85" t="s">
        <v>40</v>
      </c>
      <c r="H223" s="83" t="s">
        <v>356</v>
      </c>
      <c r="I223" s="84" t="s">
        <v>222</v>
      </c>
      <c r="J223" s="83" t="s">
        <v>43</v>
      </c>
      <c r="K223" s="83" t="s">
        <v>43</v>
      </c>
      <c r="L223" s="83"/>
      <c r="M223" s="83" t="s">
        <v>44</v>
      </c>
      <c r="N223" s="86" t="s">
        <v>301</v>
      </c>
      <c r="O223" s="123">
        <v>0</v>
      </c>
      <c r="P223" s="86"/>
      <c r="Q223" s="87"/>
      <c r="R223" s="93" t="s">
        <v>45</v>
      </c>
      <c r="S223" s="87"/>
      <c r="T223" s="87"/>
      <c r="U223" s="87"/>
      <c r="V223" s="87"/>
      <c r="W223" s="87"/>
      <c r="X223" s="78" t="s">
        <v>40</v>
      </c>
      <c r="Y223" s="87"/>
      <c r="Z223" s="87"/>
      <c r="AA223" s="87"/>
      <c r="AB223" s="87"/>
      <c r="AC223" s="8"/>
    </row>
    <row r="224" spans="1:29" s="2" customFormat="1" ht="31" x14ac:dyDescent="0.35">
      <c r="A224" s="79" t="s">
        <v>218</v>
      </c>
      <c r="B224" s="80" t="s">
        <v>219</v>
      </c>
      <c r="C224" s="80" t="s">
        <v>355</v>
      </c>
      <c r="D224" s="80"/>
      <c r="E224" s="80"/>
      <c r="F224" s="80"/>
      <c r="G224" s="80"/>
      <c r="H224" s="80" t="s">
        <v>357</v>
      </c>
      <c r="I224" s="80"/>
      <c r="J224" s="80"/>
      <c r="K224" s="80"/>
      <c r="L224" s="80"/>
      <c r="M224" s="80"/>
      <c r="N224" s="80"/>
      <c r="O224" s="81"/>
      <c r="P224" s="81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3"/>
    </row>
    <row r="225" spans="1:29" s="2" customFormat="1" ht="31" x14ac:dyDescent="0.35">
      <c r="A225" s="79" t="s">
        <v>218</v>
      </c>
      <c r="B225" s="80" t="s">
        <v>219</v>
      </c>
      <c r="C225" s="80" t="s">
        <v>355</v>
      </c>
      <c r="D225" s="80"/>
      <c r="E225" s="80"/>
      <c r="F225" s="80"/>
      <c r="G225" s="80"/>
      <c r="H225" s="80" t="s">
        <v>358</v>
      </c>
      <c r="I225" s="80"/>
      <c r="J225" s="80"/>
      <c r="K225" s="80"/>
      <c r="L225" s="80"/>
      <c r="M225" s="80"/>
      <c r="N225" s="80"/>
      <c r="O225" s="81"/>
      <c r="P225" s="81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3"/>
    </row>
    <row r="226" spans="1:29" s="2" customFormat="1" ht="31" x14ac:dyDescent="0.35">
      <c r="A226" s="79" t="s">
        <v>218</v>
      </c>
      <c r="B226" s="80" t="s">
        <v>219</v>
      </c>
      <c r="C226" s="80" t="s">
        <v>355</v>
      </c>
      <c r="D226" s="80"/>
      <c r="E226" s="80"/>
      <c r="F226" s="80"/>
      <c r="G226" s="80"/>
      <c r="H226" s="80" t="s">
        <v>359</v>
      </c>
      <c r="I226" s="80"/>
      <c r="J226" s="80"/>
      <c r="K226" s="80"/>
      <c r="L226" s="80"/>
      <c r="M226" s="80"/>
      <c r="N226" s="80"/>
      <c r="O226" s="81"/>
      <c r="P226" s="81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3"/>
    </row>
    <row r="227" spans="1:29" s="2" customFormat="1" ht="31" x14ac:dyDescent="0.35">
      <c r="A227" s="79" t="s">
        <v>218</v>
      </c>
      <c r="B227" s="80" t="s">
        <v>219</v>
      </c>
      <c r="C227" s="80" t="s">
        <v>355</v>
      </c>
      <c r="D227" s="80"/>
      <c r="E227" s="80"/>
      <c r="F227" s="80"/>
      <c r="G227" s="80"/>
      <c r="H227" s="80" t="s">
        <v>360</v>
      </c>
      <c r="I227" s="80"/>
      <c r="J227" s="80"/>
      <c r="K227" s="80"/>
      <c r="L227" s="80"/>
      <c r="M227" s="80"/>
      <c r="N227" s="80"/>
      <c r="O227" s="81"/>
      <c r="P227" s="81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3"/>
    </row>
    <row r="228" spans="1:29" ht="46.5" x14ac:dyDescent="0.35">
      <c r="A228" s="71" t="s">
        <v>218</v>
      </c>
      <c r="B228" s="83" t="s">
        <v>219</v>
      </c>
      <c r="C228" s="84" t="s">
        <v>361</v>
      </c>
      <c r="D228" s="84"/>
      <c r="E228" s="85" t="s">
        <v>362</v>
      </c>
      <c r="F228" s="84"/>
      <c r="G228" s="84"/>
      <c r="H228" s="83" t="s">
        <v>363</v>
      </c>
      <c r="I228" s="84" t="s">
        <v>222</v>
      </c>
      <c r="J228" s="83" t="s">
        <v>43</v>
      </c>
      <c r="K228" s="83" t="s">
        <v>43</v>
      </c>
      <c r="L228" s="118"/>
      <c r="M228" s="83" t="s">
        <v>44</v>
      </c>
      <c r="N228" s="124">
        <v>1800</v>
      </c>
      <c r="O228" s="86">
        <v>960</v>
      </c>
      <c r="P228" s="86"/>
      <c r="Q228" s="87"/>
      <c r="R228" s="87"/>
      <c r="S228" s="93" t="s">
        <v>364</v>
      </c>
      <c r="T228" s="87"/>
      <c r="U228" s="87"/>
      <c r="V228" s="87"/>
      <c r="W228" s="87"/>
      <c r="X228" s="87"/>
      <c r="Y228" s="87"/>
      <c r="Z228" s="87"/>
      <c r="AA228" s="87"/>
      <c r="AB228" s="87"/>
      <c r="AC228" s="8"/>
    </row>
    <row r="229" spans="1:29" s="2" customFormat="1" ht="31" x14ac:dyDescent="0.35">
      <c r="A229" s="79" t="s">
        <v>218</v>
      </c>
      <c r="B229" s="80" t="s">
        <v>219</v>
      </c>
      <c r="C229" s="80" t="s">
        <v>361</v>
      </c>
      <c r="D229" s="80"/>
      <c r="E229" s="80"/>
      <c r="F229" s="80"/>
      <c r="G229" s="80"/>
      <c r="H229" s="80" t="s">
        <v>365</v>
      </c>
      <c r="I229" s="80"/>
      <c r="J229" s="80"/>
      <c r="K229" s="80"/>
      <c r="L229" s="80"/>
      <c r="M229" s="80"/>
      <c r="N229" s="80"/>
      <c r="O229" s="81"/>
      <c r="P229" s="81"/>
      <c r="Q229" s="82"/>
      <c r="R229" s="82"/>
      <c r="S229" s="82"/>
      <c r="T229" s="82"/>
      <c r="U229" s="82"/>
      <c r="V229" s="82"/>
      <c r="W229" s="82"/>
      <c r="X229" s="82"/>
      <c r="Y229" s="82"/>
      <c r="Z229" s="82"/>
      <c r="AA229" s="82"/>
      <c r="AB229" s="82"/>
      <c r="AC229" s="3"/>
    </row>
    <row r="230" spans="1:29" s="2" customFormat="1" ht="31" x14ac:dyDescent="0.35">
      <c r="A230" s="79" t="s">
        <v>218</v>
      </c>
      <c r="B230" s="80" t="s">
        <v>219</v>
      </c>
      <c r="C230" s="80" t="s">
        <v>361</v>
      </c>
      <c r="D230" s="80"/>
      <c r="E230" s="80"/>
      <c r="F230" s="80"/>
      <c r="G230" s="80"/>
      <c r="H230" s="80" t="s">
        <v>366</v>
      </c>
      <c r="I230" s="80"/>
      <c r="J230" s="80"/>
      <c r="K230" s="80"/>
      <c r="L230" s="80"/>
      <c r="M230" s="80"/>
      <c r="N230" s="80"/>
      <c r="O230" s="81"/>
      <c r="P230" s="81"/>
      <c r="Q230" s="82"/>
      <c r="R230" s="82"/>
      <c r="S230" s="82"/>
      <c r="T230" s="82"/>
      <c r="U230" s="82"/>
      <c r="V230" s="82"/>
      <c r="W230" s="82"/>
      <c r="X230" s="82"/>
      <c r="Y230" s="82"/>
      <c r="Z230" s="82"/>
      <c r="AA230" s="82"/>
      <c r="AB230" s="82"/>
      <c r="AC230" s="3"/>
    </row>
    <row r="231" spans="1:29" ht="46.5" x14ac:dyDescent="0.35">
      <c r="A231" s="71" t="s">
        <v>218</v>
      </c>
      <c r="B231" s="83" t="s">
        <v>219</v>
      </c>
      <c r="C231" s="84" t="s">
        <v>367</v>
      </c>
      <c r="D231" s="84"/>
      <c r="E231" s="85" t="s">
        <v>72</v>
      </c>
      <c r="F231" s="84"/>
      <c r="G231" s="84"/>
      <c r="H231" s="83" t="s">
        <v>85</v>
      </c>
      <c r="I231" s="84" t="s">
        <v>222</v>
      </c>
      <c r="J231" s="83" t="s">
        <v>43</v>
      </c>
      <c r="K231" s="83" t="s">
        <v>43</v>
      </c>
      <c r="L231" s="88"/>
      <c r="M231" s="83" t="s">
        <v>44</v>
      </c>
      <c r="N231" s="76">
        <v>798</v>
      </c>
      <c r="O231" s="86">
        <v>420</v>
      </c>
      <c r="P231" s="86"/>
      <c r="Q231" s="87"/>
      <c r="R231" s="87"/>
      <c r="S231" s="87"/>
      <c r="T231" s="87"/>
      <c r="U231" s="87"/>
      <c r="V231" s="87"/>
      <c r="W231" s="93" t="s">
        <v>86</v>
      </c>
      <c r="X231" s="87"/>
      <c r="Y231" s="87"/>
      <c r="Z231" s="87"/>
      <c r="AA231" s="87"/>
      <c r="AB231" s="87"/>
      <c r="AC231" s="8"/>
    </row>
    <row r="232" spans="1:29" s="2" customFormat="1" ht="31" x14ac:dyDescent="0.35">
      <c r="A232" s="79" t="s">
        <v>218</v>
      </c>
      <c r="B232" s="80" t="s">
        <v>219</v>
      </c>
      <c r="C232" s="80" t="s">
        <v>367</v>
      </c>
      <c r="D232" s="80"/>
      <c r="E232" s="80"/>
      <c r="F232" s="80"/>
      <c r="G232" s="80"/>
      <c r="H232" s="80" t="s">
        <v>368</v>
      </c>
      <c r="I232" s="80"/>
      <c r="J232" s="80"/>
      <c r="K232" s="80"/>
      <c r="L232" s="80"/>
      <c r="M232" s="80"/>
      <c r="N232" s="80"/>
      <c r="O232" s="81"/>
      <c r="P232" s="81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3"/>
    </row>
    <row r="233" spans="1:29" s="2" customFormat="1" ht="31" x14ac:dyDescent="0.35">
      <c r="A233" s="79" t="s">
        <v>218</v>
      </c>
      <c r="B233" s="80" t="s">
        <v>219</v>
      </c>
      <c r="C233" s="80" t="s">
        <v>367</v>
      </c>
      <c r="D233" s="80"/>
      <c r="E233" s="80"/>
      <c r="F233" s="80"/>
      <c r="G233" s="80"/>
      <c r="H233" s="80" t="s">
        <v>369</v>
      </c>
      <c r="I233" s="80"/>
      <c r="J233" s="80"/>
      <c r="K233" s="80"/>
      <c r="L233" s="80"/>
      <c r="M233" s="80"/>
      <c r="N233" s="80"/>
      <c r="O233" s="81"/>
      <c r="P233" s="81"/>
      <c r="Q233" s="82"/>
      <c r="R233" s="82"/>
      <c r="S233" s="82"/>
      <c r="T233" s="82"/>
      <c r="U233" s="82"/>
      <c r="V233" s="82"/>
      <c r="W233" s="82"/>
      <c r="X233" s="82"/>
      <c r="Y233" s="82"/>
      <c r="Z233" s="82"/>
      <c r="AA233" s="82"/>
      <c r="AB233" s="82"/>
      <c r="AC233" s="3"/>
    </row>
    <row r="234" spans="1:29" s="2" customFormat="1" ht="31" x14ac:dyDescent="0.35">
      <c r="A234" s="79" t="s">
        <v>218</v>
      </c>
      <c r="B234" s="80" t="s">
        <v>219</v>
      </c>
      <c r="C234" s="80" t="s">
        <v>367</v>
      </c>
      <c r="D234" s="80"/>
      <c r="E234" s="80"/>
      <c r="F234" s="80"/>
      <c r="G234" s="80"/>
      <c r="H234" s="80" t="s">
        <v>370</v>
      </c>
      <c r="I234" s="80"/>
      <c r="J234" s="80"/>
      <c r="K234" s="80"/>
      <c r="L234" s="80"/>
      <c r="M234" s="80"/>
      <c r="N234" s="80"/>
      <c r="O234" s="81"/>
      <c r="P234" s="81"/>
      <c r="Q234" s="82"/>
      <c r="R234" s="82"/>
      <c r="S234" s="82"/>
      <c r="T234" s="82"/>
      <c r="U234" s="82"/>
      <c r="V234" s="82"/>
      <c r="W234" s="82"/>
      <c r="X234" s="82"/>
      <c r="Y234" s="82"/>
      <c r="Z234" s="82"/>
      <c r="AA234" s="82"/>
      <c r="AB234" s="82"/>
      <c r="AC234" s="3"/>
    </row>
    <row r="235" spans="1:29" s="2" customFormat="1" ht="31" x14ac:dyDescent="0.35">
      <c r="A235" s="79" t="s">
        <v>218</v>
      </c>
      <c r="B235" s="80" t="s">
        <v>219</v>
      </c>
      <c r="C235" s="80" t="s">
        <v>367</v>
      </c>
      <c r="D235" s="80"/>
      <c r="E235" s="80"/>
      <c r="F235" s="80"/>
      <c r="G235" s="80"/>
      <c r="H235" s="80" t="s">
        <v>371</v>
      </c>
      <c r="I235" s="80"/>
      <c r="J235" s="80"/>
      <c r="K235" s="80"/>
      <c r="L235" s="80"/>
      <c r="M235" s="80"/>
      <c r="N235" s="80"/>
      <c r="O235" s="81"/>
      <c r="P235" s="81"/>
      <c r="Q235" s="82"/>
      <c r="R235" s="82"/>
      <c r="S235" s="82"/>
      <c r="T235" s="82"/>
      <c r="U235" s="82"/>
      <c r="V235" s="82"/>
      <c r="W235" s="82"/>
      <c r="X235" s="82"/>
      <c r="Y235" s="82"/>
      <c r="Z235" s="82"/>
      <c r="AA235" s="82"/>
      <c r="AB235" s="82"/>
      <c r="AC235" s="3"/>
    </row>
    <row r="236" spans="1:29" s="2" customFormat="1" ht="31" x14ac:dyDescent="0.35">
      <c r="A236" s="79" t="s">
        <v>218</v>
      </c>
      <c r="B236" s="80" t="s">
        <v>219</v>
      </c>
      <c r="C236" s="80" t="s">
        <v>367</v>
      </c>
      <c r="D236" s="80"/>
      <c r="E236" s="80"/>
      <c r="F236" s="80"/>
      <c r="G236" s="80"/>
      <c r="H236" s="80" t="s">
        <v>372</v>
      </c>
      <c r="I236" s="80"/>
      <c r="J236" s="125"/>
      <c r="K236" s="125"/>
      <c r="L236" s="125"/>
      <c r="M236" s="125"/>
      <c r="N236" s="125"/>
      <c r="O236" s="126"/>
      <c r="P236" s="126"/>
      <c r="Q236" s="82"/>
      <c r="R236" s="82"/>
      <c r="S236" s="82"/>
      <c r="T236" s="82"/>
      <c r="U236" s="82"/>
      <c r="V236" s="82"/>
      <c r="W236" s="82"/>
      <c r="X236" s="82"/>
      <c r="Y236" s="82"/>
      <c r="Z236" s="82"/>
      <c r="AA236" s="82"/>
      <c r="AB236" s="82"/>
      <c r="AC236" s="3"/>
    </row>
    <row r="237" spans="1:29" ht="46.5" x14ac:dyDescent="0.35">
      <c r="A237" s="71" t="s">
        <v>218</v>
      </c>
      <c r="B237" s="83" t="s">
        <v>219</v>
      </c>
      <c r="C237" s="84" t="s">
        <v>373</v>
      </c>
      <c r="D237" s="89" t="s">
        <v>40</v>
      </c>
      <c r="E237" s="84"/>
      <c r="F237" s="84"/>
      <c r="G237" s="84"/>
      <c r="H237" s="83" t="s">
        <v>374</v>
      </c>
      <c r="I237" s="84" t="s">
        <v>222</v>
      </c>
      <c r="J237" s="83" t="s">
        <v>375</v>
      </c>
      <c r="K237" s="83" t="s">
        <v>75</v>
      </c>
      <c r="L237" s="83"/>
      <c r="M237" s="127" t="s">
        <v>376</v>
      </c>
      <c r="N237" s="128">
        <v>2660</v>
      </c>
      <c r="O237" s="86">
        <v>3020</v>
      </c>
      <c r="P237" s="129"/>
      <c r="Q237" s="130"/>
      <c r="R237" s="93" t="s">
        <v>45</v>
      </c>
      <c r="S237" s="87"/>
      <c r="T237" s="87"/>
      <c r="U237" s="87"/>
      <c r="V237" s="87"/>
      <c r="W237" s="87"/>
      <c r="X237" s="93" t="s">
        <v>45</v>
      </c>
      <c r="Y237" s="87"/>
      <c r="Z237" s="87"/>
      <c r="AA237" s="87"/>
      <c r="AB237" s="87"/>
      <c r="AC237" s="8"/>
    </row>
    <row r="238" spans="1:29" s="2" customFormat="1" ht="31" x14ac:dyDescent="0.35">
      <c r="A238" s="79" t="s">
        <v>218</v>
      </c>
      <c r="B238" s="80" t="s">
        <v>219</v>
      </c>
      <c r="C238" s="80" t="s">
        <v>373</v>
      </c>
      <c r="D238" s="80"/>
      <c r="E238" s="80"/>
      <c r="F238" s="80"/>
      <c r="G238" s="80"/>
      <c r="H238" s="80" t="s">
        <v>377</v>
      </c>
      <c r="I238" s="80"/>
      <c r="J238" s="131"/>
      <c r="K238" s="131"/>
      <c r="L238" s="131"/>
      <c r="M238" s="131"/>
      <c r="N238" s="131"/>
      <c r="O238" s="132"/>
      <c r="P238" s="132"/>
      <c r="Q238" s="82"/>
      <c r="R238" s="82"/>
      <c r="S238" s="82"/>
      <c r="T238" s="82"/>
      <c r="U238" s="82"/>
      <c r="V238" s="82"/>
      <c r="W238" s="82"/>
      <c r="X238" s="82"/>
      <c r="Y238" s="82"/>
      <c r="Z238" s="82"/>
      <c r="AA238" s="82"/>
      <c r="AB238" s="82"/>
      <c r="AC238" s="3"/>
    </row>
    <row r="239" spans="1:29" s="2" customFormat="1" ht="31" x14ac:dyDescent="0.35">
      <c r="A239" s="79" t="s">
        <v>218</v>
      </c>
      <c r="B239" s="80" t="s">
        <v>219</v>
      </c>
      <c r="C239" s="80" t="s">
        <v>373</v>
      </c>
      <c r="D239" s="80"/>
      <c r="E239" s="80"/>
      <c r="F239" s="80"/>
      <c r="G239" s="80"/>
      <c r="H239" s="80" t="s">
        <v>378</v>
      </c>
      <c r="I239" s="80"/>
      <c r="J239" s="80"/>
      <c r="K239" s="80"/>
      <c r="L239" s="80"/>
      <c r="M239" s="80"/>
      <c r="N239" s="80"/>
      <c r="O239" s="81"/>
      <c r="P239" s="81"/>
      <c r="Q239" s="82"/>
      <c r="R239" s="82"/>
      <c r="S239" s="82"/>
      <c r="T239" s="82"/>
      <c r="U239" s="82"/>
      <c r="V239" s="82"/>
      <c r="W239" s="82"/>
      <c r="X239" s="82"/>
      <c r="Y239" s="82"/>
      <c r="Z239" s="82"/>
      <c r="AA239" s="82"/>
      <c r="AB239" s="82"/>
      <c r="AC239" s="3"/>
    </row>
    <row r="240" spans="1:29" s="2" customFormat="1" ht="31" x14ac:dyDescent="0.35">
      <c r="A240" s="79" t="s">
        <v>218</v>
      </c>
      <c r="B240" s="80" t="s">
        <v>219</v>
      </c>
      <c r="C240" s="80" t="s">
        <v>373</v>
      </c>
      <c r="D240" s="80"/>
      <c r="E240" s="80"/>
      <c r="F240" s="80"/>
      <c r="G240" s="80"/>
      <c r="H240" s="80" t="s">
        <v>379</v>
      </c>
      <c r="I240" s="80"/>
      <c r="J240" s="80"/>
      <c r="K240" s="80"/>
      <c r="L240" s="80"/>
      <c r="M240" s="80"/>
      <c r="N240" s="80"/>
      <c r="O240" s="81"/>
      <c r="P240" s="81"/>
      <c r="Q240" s="82"/>
      <c r="R240" s="82"/>
      <c r="S240" s="82"/>
      <c r="T240" s="82"/>
      <c r="U240" s="82"/>
      <c r="V240" s="82"/>
      <c r="W240" s="82"/>
      <c r="X240" s="82"/>
      <c r="Y240" s="82"/>
      <c r="Z240" s="82"/>
      <c r="AA240" s="82"/>
      <c r="AB240" s="82"/>
      <c r="AC240" s="3"/>
    </row>
    <row r="241" spans="1:29" s="2" customFormat="1" ht="31" x14ac:dyDescent="0.35">
      <c r="A241" s="79" t="s">
        <v>218</v>
      </c>
      <c r="B241" s="80" t="s">
        <v>219</v>
      </c>
      <c r="C241" s="80" t="s">
        <v>373</v>
      </c>
      <c r="D241" s="80"/>
      <c r="E241" s="80"/>
      <c r="F241" s="80"/>
      <c r="G241" s="80"/>
      <c r="H241" s="80" t="s">
        <v>380</v>
      </c>
      <c r="I241" s="80"/>
      <c r="J241" s="80"/>
      <c r="K241" s="80"/>
      <c r="L241" s="80"/>
      <c r="M241" s="80"/>
      <c r="N241" s="80"/>
      <c r="O241" s="81"/>
      <c r="P241" s="81"/>
      <c r="Q241" s="82"/>
      <c r="R241" s="82"/>
      <c r="S241" s="82"/>
      <c r="T241" s="82"/>
      <c r="U241" s="82"/>
      <c r="V241" s="82"/>
      <c r="W241" s="82"/>
      <c r="X241" s="82"/>
      <c r="Y241" s="82"/>
      <c r="Z241" s="82"/>
      <c r="AA241" s="82"/>
      <c r="AB241" s="82"/>
      <c r="AC241" s="3"/>
    </row>
    <row r="242" spans="1:29" ht="46.5" x14ac:dyDescent="0.35">
      <c r="A242" s="71" t="s">
        <v>218</v>
      </c>
      <c r="B242" s="83" t="s">
        <v>219</v>
      </c>
      <c r="C242" s="84" t="s">
        <v>381</v>
      </c>
      <c r="D242" s="89" t="s">
        <v>99</v>
      </c>
      <c r="E242" s="84"/>
      <c r="F242" s="84"/>
      <c r="G242" s="84"/>
      <c r="H242" s="83" t="s">
        <v>382</v>
      </c>
      <c r="I242" s="84" t="s">
        <v>222</v>
      </c>
      <c r="J242" s="72" t="s">
        <v>223</v>
      </c>
      <c r="K242" s="107" t="s">
        <v>75</v>
      </c>
      <c r="L242" s="88" t="s">
        <v>66</v>
      </c>
      <c r="M242" s="72" t="s">
        <v>67</v>
      </c>
      <c r="N242" s="86">
        <v>0</v>
      </c>
      <c r="O242" s="86">
        <v>0</v>
      </c>
      <c r="P242" s="86"/>
      <c r="Q242" s="93" t="s">
        <v>383</v>
      </c>
      <c r="R242" s="93" t="s">
        <v>383</v>
      </c>
      <c r="S242" s="93" t="s">
        <v>383</v>
      </c>
      <c r="T242" s="93" t="s">
        <v>383</v>
      </c>
      <c r="U242" s="93" t="s">
        <v>383</v>
      </c>
      <c r="V242" s="93" t="s">
        <v>383</v>
      </c>
      <c r="W242" s="93" t="s">
        <v>383</v>
      </c>
      <c r="X242" s="93" t="s">
        <v>383</v>
      </c>
      <c r="Y242" s="93" t="s">
        <v>100</v>
      </c>
      <c r="Z242" s="97" t="s">
        <v>99</v>
      </c>
      <c r="AA242" s="97" t="s">
        <v>99</v>
      </c>
      <c r="AB242" s="97" t="s">
        <v>99</v>
      </c>
      <c r="AC242" s="8" t="s">
        <v>224</v>
      </c>
    </row>
    <row r="243" spans="1:29" ht="46.5" x14ac:dyDescent="0.35">
      <c r="A243" s="71" t="s">
        <v>218</v>
      </c>
      <c r="B243" s="83" t="s">
        <v>219</v>
      </c>
      <c r="C243" s="84" t="s">
        <v>381</v>
      </c>
      <c r="D243" s="89" t="s">
        <v>40</v>
      </c>
      <c r="E243" s="84"/>
      <c r="F243" s="84"/>
      <c r="G243" s="84"/>
      <c r="H243" s="83" t="s">
        <v>382</v>
      </c>
      <c r="I243" s="84" t="s">
        <v>222</v>
      </c>
      <c r="J243" s="88" t="s">
        <v>384</v>
      </c>
      <c r="K243" s="88" t="s">
        <v>75</v>
      </c>
      <c r="L243" s="88"/>
      <c r="M243" s="83"/>
      <c r="N243" s="86">
        <v>5705</v>
      </c>
      <c r="O243" s="86">
        <v>1350</v>
      </c>
      <c r="P243" s="86"/>
      <c r="Q243" s="87"/>
      <c r="R243" s="93" t="s">
        <v>45</v>
      </c>
      <c r="S243" s="87"/>
      <c r="T243" s="87"/>
      <c r="U243" s="87"/>
      <c r="V243" s="87"/>
      <c r="W243" s="87"/>
      <c r="X243" s="93" t="s">
        <v>45</v>
      </c>
      <c r="Y243" s="87"/>
      <c r="Z243" s="87"/>
      <c r="AA243" s="87"/>
      <c r="AB243" s="87"/>
      <c r="AC243" s="8"/>
    </row>
    <row r="244" spans="1:29" s="2" customFormat="1" ht="31" x14ac:dyDescent="0.35">
      <c r="A244" s="79" t="s">
        <v>218</v>
      </c>
      <c r="B244" s="80" t="s">
        <v>219</v>
      </c>
      <c r="C244" s="80" t="s">
        <v>381</v>
      </c>
      <c r="D244" s="80"/>
      <c r="E244" s="80"/>
      <c r="F244" s="80"/>
      <c r="G244" s="80"/>
      <c r="H244" s="80" t="s">
        <v>385</v>
      </c>
      <c r="I244" s="80"/>
      <c r="J244" s="80"/>
      <c r="K244" s="80"/>
      <c r="L244" s="80"/>
      <c r="M244" s="80"/>
      <c r="N244" s="80"/>
      <c r="O244" s="81"/>
      <c r="P244" s="81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3"/>
    </row>
    <row r="245" spans="1:29" s="2" customFormat="1" ht="31" x14ac:dyDescent="0.35">
      <c r="A245" s="79" t="s">
        <v>218</v>
      </c>
      <c r="B245" s="80" t="s">
        <v>219</v>
      </c>
      <c r="C245" s="80" t="s">
        <v>381</v>
      </c>
      <c r="D245" s="80"/>
      <c r="E245" s="80"/>
      <c r="F245" s="80"/>
      <c r="G245" s="80"/>
      <c r="H245" s="80" t="s">
        <v>386</v>
      </c>
      <c r="I245" s="80"/>
      <c r="J245" s="80"/>
      <c r="K245" s="80"/>
      <c r="L245" s="80"/>
      <c r="M245" s="80"/>
      <c r="N245" s="80"/>
      <c r="O245" s="81"/>
      <c r="P245" s="81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3"/>
    </row>
    <row r="246" spans="1:29" s="2" customFormat="1" ht="31" x14ac:dyDescent="0.35">
      <c r="A246" s="79" t="s">
        <v>218</v>
      </c>
      <c r="B246" s="80" t="s">
        <v>219</v>
      </c>
      <c r="C246" s="80" t="s">
        <v>381</v>
      </c>
      <c r="D246" s="80"/>
      <c r="E246" s="80"/>
      <c r="F246" s="80"/>
      <c r="G246" s="80"/>
      <c r="H246" s="80" t="s">
        <v>387</v>
      </c>
      <c r="I246" s="80"/>
      <c r="J246" s="80"/>
      <c r="K246" s="80"/>
      <c r="L246" s="80"/>
      <c r="M246" s="80"/>
      <c r="N246" s="80"/>
      <c r="O246" s="81"/>
      <c r="P246" s="81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3"/>
    </row>
    <row r="247" spans="1:29" s="2" customFormat="1" ht="31" x14ac:dyDescent="0.35">
      <c r="A247" s="79" t="s">
        <v>218</v>
      </c>
      <c r="B247" s="80" t="s">
        <v>219</v>
      </c>
      <c r="C247" s="80" t="s">
        <v>381</v>
      </c>
      <c r="D247" s="80"/>
      <c r="E247" s="80"/>
      <c r="F247" s="80"/>
      <c r="G247" s="80"/>
      <c r="H247" s="80" t="s">
        <v>388</v>
      </c>
      <c r="I247" s="80"/>
      <c r="J247" s="80"/>
      <c r="K247" s="80"/>
      <c r="L247" s="80"/>
      <c r="M247" s="80"/>
      <c r="N247" s="80"/>
      <c r="O247" s="81"/>
      <c r="P247" s="81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3"/>
    </row>
    <row r="248" spans="1:29" s="2" customFormat="1" ht="31" x14ac:dyDescent="0.35">
      <c r="A248" s="79" t="s">
        <v>218</v>
      </c>
      <c r="B248" s="80" t="s">
        <v>219</v>
      </c>
      <c r="C248" s="80" t="s">
        <v>381</v>
      </c>
      <c r="D248" s="80"/>
      <c r="E248" s="80"/>
      <c r="F248" s="80"/>
      <c r="G248" s="80"/>
      <c r="H248" s="80" t="s">
        <v>389</v>
      </c>
      <c r="I248" s="80"/>
      <c r="J248" s="80"/>
      <c r="K248" s="80"/>
      <c r="L248" s="80"/>
      <c r="M248" s="80"/>
      <c r="N248" s="80"/>
      <c r="O248" s="81"/>
      <c r="P248" s="81"/>
      <c r="Q248" s="82"/>
      <c r="R248" s="82"/>
      <c r="S248" s="82"/>
      <c r="T248" s="82"/>
      <c r="U248" s="82"/>
      <c r="V248" s="82"/>
      <c r="W248" s="82"/>
      <c r="X248" s="82"/>
      <c r="Y248" s="82"/>
      <c r="Z248" s="82"/>
      <c r="AA248" s="82"/>
      <c r="AB248" s="82"/>
      <c r="AC248" s="3"/>
    </row>
    <row r="249" spans="1:29" s="2" customFormat="1" ht="31" x14ac:dyDescent="0.35">
      <c r="A249" s="79" t="s">
        <v>218</v>
      </c>
      <c r="B249" s="80" t="s">
        <v>219</v>
      </c>
      <c r="C249" s="80" t="s">
        <v>381</v>
      </c>
      <c r="D249" s="80"/>
      <c r="E249" s="80"/>
      <c r="F249" s="80"/>
      <c r="G249" s="80"/>
      <c r="H249" s="80" t="s">
        <v>390</v>
      </c>
      <c r="I249" s="80"/>
      <c r="J249" s="80"/>
      <c r="K249" s="80"/>
      <c r="L249" s="80"/>
      <c r="M249" s="80"/>
      <c r="N249" s="80"/>
      <c r="O249" s="81"/>
      <c r="P249" s="81"/>
      <c r="Q249" s="82"/>
      <c r="R249" s="82"/>
      <c r="S249" s="82"/>
      <c r="T249" s="82"/>
      <c r="U249" s="82"/>
      <c r="V249" s="82"/>
      <c r="W249" s="82"/>
      <c r="X249" s="82"/>
      <c r="Y249" s="82"/>
      <c r="Z249" s="82"/>
      <c r="AA249" s="82"/>
      <c r="AB249" s="82"/>
      <c r="AC249" s="3"/>
    </row>
    <row r="250" spans="1:29" s="2" customFormat="1" ht="31" x14ac:dyDescent="0.35">
      <c r="A250" s="79" t="s">
        <v>218</v>
      </c>
      <c r="B250" s="80" t="s">
        <v>219</v>
      </c>
      <c r="C250" s="80" t="s">
        <v>381</v>
      </c>
      <c r="D250" s="80"/>
      <c r="E250" s="80"/>
      <c r="F250" s="80"/>
      <c r="G250" s="80"/>
      <c r="H250" s="80" t="s">
        <v>391</v>
      </c>
      <c r="I250" s="80"/>
      <c r="J250" s="80"/>
      <c r="K250" s="80"/>
      <c r="L250" s="80"/>
      <c r="M250" s="80"/>
      <c r="N250" s="80"/>
      <c r="O250" s="81"/>
      <c r="P250" s="81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3"/>
    </row>
    <row r="251" spans="1:29" s="2" customFormat="1" ht="31" x14ac:dyDescent="0.35">
      <c r="A251" s="79" t="s">
        <v>218</v>
      </c>
      <c r="B251" s="80" t="s">
        <v>219</v>
      </c>
      <c r="C251" s="80" t="s">
        <v>381</v>
      </c>
      <c r="D251" s="80"/>
      <c r="E251" s="80"/>
      <c r="F251" s="80"/>
      <c r="G251" s="80"/>
      <c r="H251" s="80" t="s">
        <v>392</v>
      </c>
      <c r="I251" s="80"/>
      <c r="J251" s="80"/>
      <c r="K251" s="80"/>
      <c r="L251" s="80"/>
      <c r="M251" s="80"/>
      <c r="N251" s="80"/>
      <c r="O251" s="81"/>
      <c r="P251" s="81"/>
      <c r="Q251" s="82"/>
      <c r="R251" s="82"/>
      <c r="S251" s="82"/>
      <c r="T251" s="82"/>
      <c r="U251" s="82"/>
      <c r="V251" s="82"/>
      <c r="W251" s="82"/>
      <c r="X251" s="82"/>
      <c r="Y251" s="82"/>
      <c r="Z251" s="82"/>
      <c r="AA251" s="82"/>
      <c r="AB251" s="82"/>
      <c r="AC251" s="3"/>
    </row>
    <row r="252" spans="1:29" s="2" customFormat="1" ht="31" x14ac:dyDescent="0.35">
      <c r="A252" s="79" t="s">
        <v>218</v>
      </c>
      <c r="B252" s="80" t="s">
        <v>219</v>
      </c>
      <c r="C252" s="80" t="s">
        <v>381</v>
      </c>
      <c r="D252" s="80"/>
      <c r="E252" s="80"/>
      <c r="F252" s="80"/>
      <c r="G252" s="80"/>
      <c r="H252" s="80" t="s">
        <v>393</v>
      </c>
      <c r="I252" s="80"/>
      <c r="J252" s="80"/>
      <c r="K252" s="80"/>
      <c r="L252" s="80"/>
      <c r="M252" s="80"/>
      <c r="N252" s="80"/>
      <c r="O252" s="81"/>
      <c r="P252" s="81"/>
      <c r="Q252" s="82"/>
      <c r="R252" s="82"/>
      <c r="S252" s="82"/>
      <c r="T252" s="82"/>
      <c r="U252" s="82"/>
      <c r="V252" s="82"/>
      <c r="W252" s="82"/>
      <c r="X252" s="82"/>
      <c r="Y252" s="82"/>
      <c r="Z252" s="82"/>
      <c r="AA252" s="82"/>
      <c r="AB252" s="82"/>
      <c r="AC252" s="3"/>
    </row>
    <row r="253" spans="1:29" s="2" customFormat="1" ht="31" x14ac:dyDescent="0.35">
      <c r="A253" s="79" t="s">
        <v>218</v>
      </c>
      <c r="B253" s="80" t="s">
        <v>219</v>
      </c>
      <c r="C253" s="80" t="s">
        <v>381</v>
      </c>
      <c r="D253" s="80"/>
      <c r="E253" s="80"/>
      <c r="F253" s="80"/>
      <c r="G253" s="80"/>
      <c r="H253" s="80" t="s">
        <v>394</v>
      </c>
      <c r="I253" s="80"/>
      <c r="J253" s="80"/>
      <c r="K253" s="80"/>
      <c r="L253" s="80"/>
      <c r="M253" s="80"/>
      <c r="N253" s="80"/>
      <c r="O253" s="81"/>
      <c r="P253" s="81"/>
      <c r="Q253" s="82"/>
      <c r="R253" s="82"/>
      <c r="S253" s="82"/>
      <c r="T253" s="82"/>
      <c r="U253" s="82"/>
      <c r="V253" s="82"/>
      <c r="W253" s="82"/>
      <c r="X253" s="82"/>
      <c r="Y253" s="82"/>
      <c r="Z253" s="82"/>
      <c r="AA253" s="82"/>
      <c r="AB253" s="82"/>
      <c r="AC253" s="3"/>
    </row>
    <row r="254" spans="1:29" s="2" customFormat="1" ht="31" x14ac:dyDescent="0.35">
      <c r="A254" s="79" t="s">
        <v>218</v>
      </c>
      <c r="B254" s="80" t="s">
        <v>219</v>
      </c>
      <c r="C254" s="80" t="s">
        <v>381</v>
      </c>
      <c r="D254" s="80"/>
      <c r="E254" s="80"/>
      <c r="F254" s="80"/>
      <c r="G254" s="80"/>
      <c r="H254" s="80" t="s">
        <v>395</v>
      </c>
      <c r="I254" s="80"/>
      <c r="J254" s="80"/>
      <c r="K254" s="80"/>
      <c r="L254" s="80"/>
      <c r="M254" s="80"/>
      <c r="N254" s="80"/>
      <c r="O254" s="81"/>
      <c r="P254" s="81"/>
      <c r="Q254" s="82"/>
      <c r="R254" s="82"/>
      <c r="S254" s="82"/>
      <c r="T254" s="82"/>
      <c r="U254" s="82"/>
      <c r="V254" s="82"/>
      <c r="W254" s="82"/>
      <c r="X254" s="82"/>
      <c r="Y254" s="82"/>
      <c r="Z254" s="82"/>
      <c r="AA254" s="82"/>
      <c r="AB254" s="82"/>
      <c r="AC254" s="3"/>
    </row>
    <row r="255" spans="1:29" ht="46.5" x14ac:dyDescent="0.35">
      <c r="A255" s="71" t="s">
        <v>218</v>
      </c>
      <c r="B255" s="83" t="s">
        <v>219</v>
      </c>
      <c r="C255" s="84" t="s">
        <v>396</v>
      </c>
      <c r="D255" s="89" t="s">
        <v>207</v>
      </c>
      <c r="E255" s="84"/>
      <c r="F255" s="84"/>
      <c r="G255" s="84"/>
      <c r="H255" s="83" t="s">
        <v>96</v>
      </c>
      <c r="I255" s="84" t="s">
        <v>222</v>
      </c>
      <c r="J255" s="72" t="s">
        <v>223</v>
      </c>
      <c r="K255" s="107" t="s">
        <v>75</v>
      </c>
      <c r="L255" s="88" t="s">
        <v>66</v>
      </c>
      <c r="M255" s="72" t="s">
        <v>67</v>
      </c>
      <c r="N255" s="111">
        <v>0</v>
      </c>
      <c r="O255" s="86">
        <v>0</v>
      </c>
      <c r="P255" s="86"/>
      <c r="Q255" s="93" t="s">
        <v>397</v>
      </c>
      <c r="R255" s="93" t="s">
        <v>100</v>
      </c>
      <c r="S255" s="93" t="s">
        <v>100</v>
      </c>
      <c r="T255" s="93" t="s">
        <v>100</v>
      </c>
      <c r="U255" s="93" t="s">
        <v>100</v>
      </c>
      <c r="V255" s="93" t="s">
        <v>100</v>
      </c>
      <c r="W255" s="93" t="s">
        <v>100</v>
      </c>
      <c r="X255" s="97" t="s">
        <v>99</v>
      </c>
      <c r="Y255" s="93" t="s">
        <v>100</v>
      </c>
      <c r="Z255" s="97" t="s">
        <v>99</v>
      </c>
      <c r="AA255" s="97" t="s">
        <v>99</v>
      </c>
      <c r="AB255" s="97" t="s">
        <v>99</v>
      </c>
      <c r="AC255" s="8" t="s">
        <v>224</v>
      </c>
    </row>
    <row r="256" spans="1:29" s="2" customFormat="1" ht="31" x14ac:dyDescent="0.35">
      <c r="A256" s="79" t="s">
        <v>218</v>
      </c>
      <c r="B256" s="80" t="s">
        <v>219</v>
      </c>
      <c r="C256" s="80" t="s">
        <v>396</v>
      </c>
      <c r="D256" s="80"/>
      <c r="E256" s="80"/>
      <c r="F256" s="80"/>
      <c r="G256" s="80"/>
      <c r="H256" s="80" t="s">
        <v>398</v>
      </c>
      <c r="I256" s="80"/>
      <c r="J256" s="80"/>
      <c r="K256" s="80"/>
      <c r="L256" s="80"/>
      <c r="M256" s="80"/>
      <c r="N256" s="80"/>
      <c r="O256" s="81"/>
      <c r="P256" s="81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3"/>
    </row>
    <row r="257" spans="1:29" s="2" customFormat="1" ht="31" x14ac:dyDescent="0.35">
      <c r="A257" s="79" t="s">
        <v>218</v>
      </c>
      <c r="B257" s="80" t="s">
        <v>219</v>
      </c>
      <c r="C257" s="80" t="s">
        <v>396</v>
      </c>
      <c r="D257" s="80"/>
      <c r="E257" s="80"/>
      <c r="F257" s="80"/>
      <c r="G257" s="80"/>
      <c r="H257" s="80" t="s">
        <v>399</v>
      </c>
      <c r="I257" s="80"/>
      <c r="J257" s="80"/>
      <c r="K257" s="80"/>
      <c r="L257" s="80"/>
      <c r="M257" s="80"/>
      <c r="N257" s="80"/>
      <c r="O257" s="81"/>
      <c r="P257" s="81"/>
      <c r="Q257" s="82"/>
      <c r="R257" s="82"/>
      <c r="S257" s="82"/>
      <c r="T257" s="82"/>
      <c r="U257" s="82"/>
      <c r="V257" s="82"/>
      <c r="W257" s="82"/>
      <c r="X257" s="82"/>
      <c r="Y257" s="82"/>
      <c r="Z257" s="82"/>
      <c r="AA257" s="82"/>
      <c r="AB257" s="82"/>
      <c r="AC257" s="3"/>
    </row>
    <row r="258" spans="1:29" s="2" customFormat="1" ht="31" x14ac:dyDescent="0.35">
      <c r="A258" s="79" t="s">
        <v>218</v>
      </c>
      <c r="B258" s="80" t="s">
        <v>219</v>
      </c>
      <c r="C258" s="80" t="s">
        <v>396</v>
      </c>
      <c r="D258" s="80"/>
      <c r="E258" s="80"/>
      <c r="F258" s="80"/>
      <c r="G258" s="80"/>
      <c r="H258" s="80" t="s">
        <v>400</v>
      </c>
      <c r="I258" s="80"/>
      <c r="J258" s="80"/>
      <c r="K258" s="80"/>
      <c r="L258" s="80"/>
      <c r="M258" s="80"/>
      <c r="N258" s="80"/>
      <c r="O258" s="81"/>
      <c r="P258" s="81"/>
      <c r="Q258" s="82"/>
      <c r="R258" s="82"/>
      <c r="S258" s="82"/>
      <c r="T258" s="82"/>
      <c r="U258" s="82"/>
      <c r="V258" s="82"/>
      <c r="W258" s="82"/>
      <c r="X258" s="82"/>
      <c r="Y258" s="82"/>
      <c r="Z258" s="82"/>
      <c r="AA258" s="82"/>
      <c r="AB258" s="82"/>
      <c r="AC258" s="3"/>
    </row>
    <row r="259" spans="1:29" ht="46.5" x14ac:dyDescent="0.35">
      <c r="A259" s="71" t="s">
        <v>218</v>
      </c>
      <c r="B259" s="83" t="s">
        <v>219</v>
      </c>
      <c r="C259" s="84" t="s">
        <v>401</v>
      </c>
      <c r="D259" s="89" t="s">
        <v>72</v>
      </c>
      <c r="E259" s="84"/>
      <c r="F259" s="84"/>
      <c r="G259" s="84"/>
      <c r="H259" s="83" t="s">
        <v>402</v>
      </c>
      <c r="I259" s="84" t="s">
        <v>222</v>
      </c>
      <c r="J259" s="72" t="s">
        <v>223</v>
      </c>
      <c r="K259" s="107" t="s">
        <v>75</v>
      </c>
      <c r="L259" s="88" t="s">
        <v>66</v>
      </c>
      <c r="M259" s="72" t="s">
        <v>67</v>
      </c>
      <c r="N259" s="86">
        <v>0</v>
      </c>
      <c r="O259" s="86">
        <v>0</v>
      </c>
      <c r="P259" s="86"/>
      <c r="Q259" s="87"/>
      <c r="R259" s="87"/>
      <c r="S259" s="87"/>
      <c r="T259" s="87"/>
      <c r="U259" s="93" t="s">
        <v>86</v>
      </c>
      <c r="V259" s="87"/>
      <c r="W259" s="87"/>
      <c r="X259" s="87"/>
      <c r="Y259" s="87"/>
      <c r="Z259" s="87"/>
      <c r="AA259" s="87"/>
      <c r="AB259" s="87"/>
      <c r="AC259" s="8" t="s">
        <v>224</v>
      </c>
    </row>
    <row r="260" spans="1:29" s="2" customFormat="1" ht="31" x14ac:dyDescent="0.35">
      <c r="A260" s="79" t="s">
        <v>218</v>
      </c>
      <c r="B260" s="80" t="s">
        <v>219</v>
      </c>
      <c r="C260" s="80" t="s">
        <v>401</v>
      </c>
      <c r="D260" s="80"/>
      <c r="E260" s="80"/>
      <c r="F260" s="80"/>
      <c r="G260" s="80"/>
      <c r="H260" s="80" t="s">
        <v>403</v>
      </c>
      <c r="I260" s="80"/>
      <c r="J260" s="80"/>
      <c r="K260" s="80"/>
      <c r="L260" s="80"/>
      <c r="M260" s="80"/>
      <c r="N260" s="80"/>
      <c r="O260" s="81"/>
      <c r="P260" s="81"/>
      <c r="Q260" s="82"/>
      <c r="R260" s="82"/>
      <c r="S260" s="82"/>
      <c r="T260" s="82"/>
      <c r="U260" s="82"/>
      <c r="V260" s="82"/>
      <c r="W260" s="82"/>
      <c r="X260" s="82"/>
      <c r="Y260" s="82"/>
      <c r="Z260" s="82"/>
      <c r="AA260" s="82"/>
      <c r="AB260" s="82"/>
      <c r="AC260" s="3"/>
    </row>
    <row r="261" spans="1:29" s="2" customFormat="1" ht="31" x14ac:dyDescent="0.35">
      <c r="A261" s="79" t="s">
        <v>218</v>
      </c>
      <c r="B261" s="80" t="s">
        <v>219</v>
      </c>
      <c r="C261" s="80" t="s">
        <v>401</v>
      </c>
      <c r="D261" s="80"/>
      <c r="E261" s="80"/>
      <c r="F261" s="80"/>
      <c r="G261" s="80"/>
      <c r="H261" s="80" t="s">
        <v>404</v>
      </c>
      <c r="I261" s="80"/>
      <c r="J261" s="80"/>
      <c r="K261" s="80"/>
      <c r="L261" s="80"/>
      <c r="M261" s="80"/>
      <c r="N261" s="80"/>
      <c r="O261" s="81"/>
      <c r="P261" s="81"/>
      <c r="Q261" s="82"/>
      <c r="R261" s="82"/>
      <c r="S261" s="82"/>
      <c r="T261" s="82"/>
      <c r="U261" s="82"/>
      <c r="V261" s="82"/>
      <c r="W261" s="82"/>
      <c r="X261" s="82"/>
      <c r="Y261" s="82"/>
      <c r="Z261" s="82"/>
      <c r="AA261" s="82"/>
      <c r="AB261" s="82"/>
      <c r="AC261" s="3"/>
    </row>
    <row r="262" spans="1:29" ht="46.5" x14ac:dyDescent="0.35">
      <c r="A262" s="71" t="s">
        <v>218</v>
      </c>
      <c r="B262" s="83" t="s">
        <v>219</v>
      </c>
      <c r="C262" s="84" t="s">
        <v>405</v>
      </c>
      <c r="D262" s="89" t="s">
        <v>114</v>
      </c>
      <c r="E262" s="84"/>
      <c r="F262" s="84"/>
      <c r="G262" s="84"/>
      <c r="H262" s="83" t="s">
        <v>406</v>
      </c>
      <c r="I262" s="84" t="s">
        <v>222</v>
      </c>
      <c r="J262" s="83" t="s">
        <v>187</v>
      </c>
      <c r="K262" s="83" t="s">
        <v>43</v>
      </c>
      <c r="L262" s="83"/>
      <c r="M262" s="88" t="s">
        <v>188</v>
      </c>
      <c r="N262" s="91" t="s">
        <v>407</v>
      </c>
      <c r="O262" s="86">
        <v>1500</v>
      </c>
      <c r="P262" s="86"/>
      <c r="Q262" s="87"/>
      <c r="R262" s="93" t="s">
        <v>45</v>
      </c>
      <c r="S262" s="87"/>
      <c r="T262" s="87"/>
      <c r="U262" s="87"/>
      <c r="V262" s="87"/>
      <c r="W262" s="87"/>
      <c r="X262" s="93" t="s">
        <v>86</v>
      </c>
      <c r="Y262" s="87"/>
      <c r="Z262" s="87"/>
      <c r="AA262" s="87"/>
      <c r="AB262" s="87"/>
      <c r="AC262" s="8"/>
    </row>
    <row r="263" spans="1:29" s="2" customFormat="1" ht="31" x14ac:dyDescent="0.35">
      <c r="A263" s="79" t="s">
        <v>218</v>
      </c>
      <c r="B263" s="80" t="s">
        <v>219</v>
      </c>
      <c r="C263" s="80" t="s">
        <v>405</v>
      </c>
      <c r="D263" s="80"/>
      <c r="E263" s="80"/>
      <c r="F263" s="80"/>
      <c r="G263" s="80"/>
      <c r="H263" s="80" t="s">
        <v>408</v>
      </c>
      <c r="I263" s="80"/>
      <c r="J263" s="80"/>
      <c r="K263" s="80"/>
      <c r="L263" s="80"/>
      <c r="M263" s="80"/>
      <c r="N263" s="80"/>
      <c r="O263" s="81"/>
      <c r="P263" s="81"/>
      <c r="Q263" s="82"/>
      <c r="R263" s="82"/>
      <c r="S263" s="82"/>
      <c r="T263" s="82"/>
      <c r="U263" s="82"/>
      <c r="V263" s="82"/>
      <c r="W263" s="82"/>
      <c r="X263" s="82"/>
      <c r="Y263" s="82"/>
      <c r="Z263" s="82"/>
      <c r="AA263" s="82"/>
      <c r="AB263" s="82"/>
      <c r="AC263" s="3"/>
    </row>
    <row r="264" spans="1:29" s="2" customFormat="1" ht="31" x14ac:dyDescent="0.35">
      <c r="A264" s="79" t="s">
        <v>218</v>
      </c>
      <c r="B264" s="80" t="s">
        <v>219</v>
      </c>
      <c r="C264" s="80" t="s">
        <v>405</v>
      </c>
      <c r="D264" s="80"/>
      <c r="E264" s="80"/>
      <c r="F264" s="80"/>
      <c r="G264" s="80"/>
      <c r="H264" s="80" t="s">
        <v>409</v>
      </c>
      <c r="I264" s="80"/>
      <c r="J264" s="80"/>
      <c r="K264" s="80"/>
      <c r="L264" s="80"/>
      <c r="M264" s="80"/>
      <c r="N264" s="80"/>
      <c r="O264" s="81"/>
      <c r="P264" s="81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3"/>
    </row>
    <row r="265" spans="1:29" ht="46.5" x14ac:dyDescent="0.35">
      <c r="A265" s="71" t="s">
        <v>218</v>
      </c>
      <c r="B265" s="83" t="s">
        <v>219</v>
      </c>
      <c r="C265" s="84" t="s">
        <v>410</v>
      </c>
      <c r="D265" s="89" t="s">
        <v>40</v>
      </c>
      <c r="E265" s="84"/>
      <c r="F265" s="84"/>
      <c r="G265" s="84"/>
      <c r="H265" s="83" t="s">
        <v>411</v>
      </c>
      <c r="I265" s="84" t="s">
        <v>222</v>
      </c>
      <c r="J265" s="83" t="s">
        <v>43</v>
      </c>
      <c r="K265" s="83" t="s">
        <v>43</v>
      </c>
      <c r="L265" s="83"/>
      <c r="M265" s="83" t="s">
        <v>44</v>
      </c>
      <c r="N265" s="86" t="s">
        <v>301</v>
      </c>
      <c r="O265" s="86">
        <v>240</v>
      </c>
      <c r="P265" s="86"/>
      <c r="Q265" s="87"/>
      <c r="R265" s="93" t="s">
        <v>45</v>
      </c>
      <c r="S265" s="87"/>
      <c r="T265" s="87"/>
      <c r="U265" s="87"/>
      <c r="V265" s="87"/>
      <c r="W265" s="87"/>
      <c r="X265" s="93" t="s">
        <v>45</v>
      </c>
      <c r="Y265" s="87"/>
      <c r="Z265" s="87"/>
      <c r="AA265" s="87"/>
      <c r="AB265" s="87"/>
      <c r="AC265" s="8"/>
    </row>
    <row r="266" spans="1:29" s="2" customFormat="1" ht="31" x14ac:dyDescent="0.35">
      <c r="A266" s="79" t="s">
        <v>218</v>
      </c>
      <c r="B266" s="80" t="s">
        <v>219</v>
      </c>
      <c r="C266" s="80" t="s">
        <v>410</v>
      </c>
      <c r="D266" s="80"/>
      <c r="E266" s="80"/>
      <c r="F266" s="80"/>
      <c r="G266" s="80"/>
      <c r="H266" s="80" t="s">
        <v>412</v>
      </c>
      <c r="I266" s="80"/>
      <c r="J266" s="80"/>
      <c r="K266" s="80"/>
      <c r="L266" s="80"/>
      <c r="M266" s="80"/>
      <c r="N266" s="80"/>
      <c r="O266" s="81"/>
      <c r="P266" s="81"/>
      <c r="Q266" s="82"/>
      <c r="R266" s="82"/>
      <c r="S266" s="82"/>
      <c r="T266" s="82"/>
      <c r="U266" s="82"/>
      <c r="V266" s="82"/>
      <c r="W266" s="82"/>
      <c r="X266" s="82"/>
      <c r="Y266" s="82"/>
      <c r="Z266" s="82"/>
      <c r="AA266" s="82"/>
      <c r="AB266" s="82"/>
      <c r="AC266" s="3"/>
    </row>
    <row r="267" spans="1:29" s="2" customFormat="1" ht="31" x14ac:dyDescent="0.35">
      <c r="A267" s="79" t="s">
        <v>218</v>
      </c>
      <c r="B267" s="80" t="s">
        <v>219</v>
      </c>
      <c r="C267" s="80" t="s">
        <v>410</v>
      </c>
      <c r="D267" s="80"/>
      <c r="E267" s="80"/>
      <c r="F267" s="80"/>
      <c r="G267" s="80"/>
      <c r="H267" s="80" t="s">
        <v>413</v>
      </c>
      <c r="I267" s="80"/>
      <c r="J267" s="80"/>
      <c r="K267" s="80"/>
      <c r="L267" s="80"/>
      <c r="M267" s="80"/>
      <c r="N267" s="80"/>
      <c r="O267" s="81"/>
      <c r="P267" s="81"/>
      <c r="Q267" s="82"/>
      <c r="R267" s="82"/>
      <c r="S267" s="82"/>
      <c r="T267" s="82"/>
      <c r="U267" s="82"/>
      <c r="V267" s="82"/>
      <c r="W267" s="82"/>
      <c r="X267" s="82"/>
      <c r="Y267" s="82"/>
      <c r="Z267" s="82"/>
      <c r="AA267" s="82"/>
      <c r="AB267" s="82"/>
      <c r="AC267" s="3"/>
    </row>
    <row r="268" spans="1:29" s="2" customFormat="1" ht="31" x14ac:dyDescent="0.35">
      <c r="A268" s="79" t="s">
        <v>218</v>
      </c>
      <c r="B268" s="80" t="s">
        <v>219</v>
      </c>
      <c r="C268" s="80" t="s">
        <v>410</v>
      </c>
      <c r="D268" s="80"/>
      <c r="E268" s="80"/>
      <c r="F268" s="80"/>
      <c r="G268" s="80"/>
      <c r="H268" s="80" t="s">
        <v>414</v>
      </c>
      <c r="I268" s="80"/>
      <c r="J268" s="80"/>
      <c r="K268" s="80"/>
      <c r="L268" s="80"/>
      <c r="M268" s="80"/>
      <c r="N268" s="80"/>
      <c r="O268" s="81"/>
      <c r="P268" s="81"/>
      <c r="Q268" s="82"/>
      <c r="R268" s="82"/>
      <c r="S268" s="82"/>
      <c r="T268" s="82"/>
      <c r="U268" s="82"/>
      <c r="V268" s="82"/>
      <c r="W268" s="82"/>
      <c r="X268" s="82"/>
      <c r="Y268" s="82"/>
      <c r="Z268" s="82"/>
      <c r="AA268" s="82"/>
      <c r="AB268" s="82"/>
      <c r="AC268" s="3"/>
    </row>
    <row r="269" spans="1:29" s="2" customFormat="1" ht="31" x14ac:dyDescent="0.35">
      <c r="A269" s="79" t="s">
        <v>218</v>
      </c>
      <c r="B269" s="80" t="s">
        <v>219</v>
      </c>
      <c r="C269" s="80" t="s">
        <v>410</v>
      </c>
      <c r="D269" s="80"/>
      <c r="E269" s="80"/>
      <c r="F269" s="80"/>
      <c r="G269" s="80"/>
      <c r="H269" s="80" t="s">
        <v>415</v>
      </c>
      <c r="I269" s="80"/>
      <c r="J269" s="80"/>
      <c r="K269" s="80"/>
      <c r="L269" s="80"/>
      <c r="M269" s="80"/>
      <c r="N269" s="80"/>
      <c r="O269" s="81"/>
      <c r="P269" s="81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3"/>
    </row>
    <row r="270" spans="1:29" s="2" customFormat="1" ht="31" x14ac:dyDescent="0.35">
      <c r="A270" s="79" t="s">
        <v>218</v>
      </c>
      <c r="B270" s="80" t="s">
        <v>219</v>
      </c>
      <c r="C270" s="80" t="s">
        <v>410</v>
      </c>
      <c r="D270" s="80"/>
      <c r="E270" s="80"/>
      <c r="F270" s="80"/>
      <c r="G270" s="80"/>
      <c r="H270" s="80" t="s">
        <v>416</v>
      </c>
      <c r="I270" s="80"/>
      <c r="J270" s="80"/>
      <c r="K270" s="80"/>
      <c r="L270" s="80"/>
      <c r="M270" s="80"/>
      <c r="N270" s="80"/>
      <c r="O270" s="81"/>
      <c r="P270" s="81"/>
      <c r="Q270" s="82"/>
      <c r="R270" s="82"/>
      <c r="S270" s="82"/>
      <c r="T270" s="82"/>
      <c r="U270" s="82"/>
      <c r="V270" s="82"/>
      <c r="W270" s="82"/>
      <c r="X270" s="82"/>
      <c r="Y270" s="82"/>
      <c r="Z270" s="82"/>
      <c r="AA270" s="82"/>
      <c r="AB270" s="82"/>
      <c r="AC270" s="3"/>
    </row>
    <row r="271" spans="1:29" s="2" customFormat="1" ht="31" x14ac:dyDescent="0.35">
      <c r="A271" s="79" t="s">
        <v>218</v>
      </c>
      <c r="B271" s="80" t="s">
        <v>219</v>
      </c>
      <c r="C271" s="80" t="s">
        <v>410</v>
      </c>
      <c r="D271" s="80"/>
      <c r="E271" s="80"/>
      <c r="F271" s="80"/>
      <c r="G271" s="80"/>
      <c r="H271" s="80" t="s">
        <v>417</v>
      </c>
      <c r="I271" s="80"/>
      <c r="J271" s="80"/>
      <c r="K271" s="80"/>
      <c r="L271" s="80"/>
      <c r="M271" s="80"/>
      <c r="N271" s="80"/>
      <c r="O271" s="81"/>
      <c r="P271" s="81"/>
      <c r="Q271" s="82"/>
      <c r="R271" s="82"/>
      <c r="S271" s="82"/>
      <c r="T271" s="82"/>
      <c r="U271" s="82"/>
      <c r="V271" s="82"/>
      <c r="W271" s="82"/>
      <c r="X271" s="82"/>
      <c r="Y271" s="82"/>
      <c r="Z271" s="82"/>
      <c r="AA271" s="82"/>
      <c r="AB271" s="82"/>
      <c r="AC271" s="3"/>
    </row>
    <row r="272" spans="1:29" s="2" customFormat="1" ht="31" x14ac:dyDescent="0.35">
      <c r="A272" s="79" t="s">
        <v>218</v>
      </c>
      <c r="B272" s="80" t="s">
        <v>219</v>
      </c>
      <c r="C272" s="80" t="s">
        <v>410</v>
      </c>
      <c r="D272" s="80"/>
      <c r="E272" s="80"/>
      <c r="F272" s="80"/>
      <c r="G272" s="80"/>
      <c r="H272" s="80" t="s">
        <v>418</v>
      </c>
      <c r="I272" s="80"/>
      <c r="J272" s="80"/>
      <c r="K272" s="80"/>
      <c r="L272" s="80"/>
      <c r="M272" s="80"/>
      <c r="N272" s="80"/>
      <c r="O272" s="81"/>
      <c r="P272" s="81"/>
      <c r="Q272" s="82"/>
      <c r="R272" s="82"/>
      <c r="S272" s="82"/>
      <c r="T272" s="82"/>
      <c r="U272" s="82"/>
      <c r="V272" s="82"/>
      <c r="W272" s="82"/>
      <c r="X272" s="82"/>
      <c r="Y272" s="82"/>
      <c r="Z272" s="82"/>
      <c r="AA272" s="82"/>
      <c r="AB272" s="82"/>
      <c r="AC272" s="3"/>
    </row>
    <row r="273" spans="1:29" ht="46.5" x14ac:dyDescent="0.35">
      <c r="A273" s="71" t="s">
        <v>218</v>
      </c>
      <c r="B273" s="83" t="s">
        <v>219</v>
      </c>
      <c r="C273" s="84" t="s">
        <v>419</v>
      </c>
      <c r="D273" s="84"/>
      <c r="E273" s="85" t="s">
        <v>420</v>
      </c>
      <c r="F273" s="84"/>
      <c r="G273" s="84"/>
      <c r="H273" s="83" t="s">
        <v>421</v>
      </c>
      <c r="I273" s="84" t="s">
        <v>222</v>
      </c>
      <c r="J273" s="83" t="s">
        <v>422</v>
      </c>
      <c r="K273" s="83" t="s">
        <v>43</v>
      </c>
      <c r="L273" s="83"/>
      <c r="M273" s="83" t="s">
        <v>44</v>
      </c>
      <c r="N273" s="86">
        <v>2040</v>
      </c>
      <c r="O273" s="86">
        <v>1456</v>
      </c>
      <c r="P273" s="86"/>
      <c r="Q273" s="93" t="s">
        <v>423</v>
      </c>
      <c r="R273" s="87"/>
      <c r="S273" s="87"/>
      <c r="T273" s="93" t="s">
        <v>68</v>
      </c>
      <c r="U273" s="87"/>
      <c r="V273" s="87"/>
      <c r="W273" s="93" t="s">
        <v>68</v>
      </c>
      <c r="X273" s="87"/>
      <c r="Y273" s="87"/>
      <c r="Z273" s="93" t="s">
        <v>68</v>
      </c>
      <c r="AA273" s="87"/>
      <c r="AB273" s="87"/>
      <c r="AC273" s="8"/>
    </row>
    <row r="274" spans="1:29" s="2" customFormat="1" ht="31" x14ac:dyDescent="0.35">
      <c r="A274" s="79" t="s">
        <v>218</v>
      </c>
      <c r="B274" s="80" t="s">
        <v>219</v>
      </c>
      <c r="C274" s="80" t="s">
        <v>419</v>
      </c>
      <c r="D274" s="80"/>
      <c r="E274" s="80"/>
      <c r="F274" s="80"/>
      <c r="G274" s="80"/>
      <c r="H274" s="80" t="s">
        <v>424</v>
      </c>
      <c r="I274" s="80"/>
      <c r="J274" s="80"/>
      <c r="K274" s="80"/>
      <c r="L274" s="80"/>
      <c r="M274" s="80"/>
      <c r="N274" s="80"/>
      <c r="O274" s="81"/>
      <c r="P274" s="81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3"/>
    </row>
    <row r="275" spans="1:29" s="2" customFormat="1" ht="31" x14ac:dyDescent="0.35">
      <c r="A275" s="79" t="s">
        <v>218</v>
      </c>
      <c r="B275" s="80" t="s">
        <v>219</v>
      </c>
      <c r="C275" s="80" t="s">
        <v>419</v>
      </c>
      <c r="D275" s="80"/>
      <c r="E275" s="80"/>
      <c r="F275" s="80"/>
      <c r="G275" s="80"/>
      <c r="H275" s="80" t="s">
        <v>425</v>
      </c>
      <c r="I275" s="80"/>
      <c r="J275" s="80"/>
      <c r="K275" s="80"/>
      <c r="L275" s="80"/>
      <c r="M275" s="80"/>
      <c r="N275" s="80"/>
      <c r="O275" s="81"/>
      <c r="P275" s="81"/>
      <c r="Q275" s="82"/>
      <c r="R275" s="82"/>
      <c r="S275" s="82"/>
      <c r="T275" s="82"/>
      <c r="U275" s="82"/>
      <c r="V275" s="82"/>
      <c r="W275" s="82"/>
      <c r="X275" s="82"/>
      <c r="Y275" s="82"/>
      <c r="Z275" s="82"/>
      <c r="AA275" s="82"/>
      <c r="AB275" s="82"/>
      <c r="AC275" s="3"/>
    </row>
    <row r="276" spans="1:29" s="2" customFormat="1" ht="31" x14ac:dyDescent="0.35">
      <c r="A276" s="79" t="s">
        <v>218</v>
      </c>
      <c r="B276" s="80" t="s">
        <v>219</v>
      </c>
      <c r="C276" s="80" t="s">
        <v>419</v>
      </c>
      <c r="D276" s="80"/>
      <c r="E276" s="80"/>
      <c r="F276" s="80"/>
      <c r="G276" s="80"/>
      <c r="H276" s="80" t="s">
        <v>426</v>
      </c>
      <c r="I276" s="80"/>
      <c r="J276" s="80"/>
      <c r="K276" s="80"/>
      <c r="L276" s="80"/>
      <c r="M276" s="80"/>
      <c r="N276" s="80"/>
      <c r="O276" s="81"/>
      <c r="P276" s="81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3"/>
    </row>
    <row r="277" spans="1:29" ht="46.5" x14ac:dyDescent="0.35">
      <c r="A277" s="71" t="s">
        <v>218</v>
      </c>
      <c r="B277" s="83" t="s">
        <v>219</v>
      </c>
      <c r="C277" s="84" t="s">
        <v>427</v>
      </c>
      <c r="D277" s="89" t="s">
        <v>40</v>
      </c>
      <c r="E277" s="85" t="s">
        <v>72</v>
      </c>
      <c r="F277" s="84"/>
      <c r="G277" s="85" t="s">
        <v>72</v>
      </c>
      <c r="H277" s="83" t="s">
        <v>428</v>
      </c>
      <c r="I277" s="84" t="s">
        <v>222</v>
      </c>
      <c r="J277" s="83" t="s">
        <v>118</v>
      </c>
      <c r="K277" s="83" t="s">
        <v>75</v>
      </c>
      <c r="L277" s="83"/>
      <c r="M277" s="83" t="s">
        <v>119</v>
      </c>
      <c r="N277" s="86">
        <v>12416.62</v>
      </c>
      <c r="O277" s="86">
        <v>13658.42</v>
      </c>
      <c r="P277" s="86"/>
      <c r="Q277" s="87"/>
      <c r="R277" s="93" t="s">
        <v>86</v>
      </c>
      <c r="S277" s="87"/>
      <c r="T277" s="87"/>
      <c r="U277" s="87"/>
      <c r="V277" s="87"/>
      <c r="W277" s="87"/>
      <c r="X277" s="93" t="s">
        <v>45</v>
      </c>
      <c r="Y277" s="87"/>
      <c r="Z277" s="87"/>
      <c r="AA277" s="87"/>
      <c r="AB277" s="87"/>
      <c r="AC277" s="8"/>
    </row>
    <row r="278" spans="1:29" s="2" customFormat="1" ht="31" x14ac:dyDescent="0.35">
      <c r="A278" s="79" t="s">
        <v>218</v>
      </c>
      <c r="B278" s="80" t="s">
        <v>219</v>
      </c>
      <c r="C278" s="80" t="s">
        <v>427</v>
      </c>
      <c r="D278" s="80"/>
      <c r="E278" s="80"/>
      <c r="F278" s="80"/>
      <c r="G278" s="80"/>
      <c r="H278" s="80" t="s">
        <v>429</v>
      </c>
      <c r="I278" s="80"/>
      <c r="J278" s="80"/>
      <c r="K278" s="80"/>
      <c r="L278" s="80"/>
      <c r="M278" s="80"/>
      <c r="N278" s="80"/>
      <c r="O278" s="81"/>
      <c r="P278" s="81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3"/>
    </row>
    <row r="279" spans="1:29" s="2" customFormat="1" ht="31" x14ac:dyDescent="0.35">
      <c r="A279" s="79" t="s">
        <v>218</v>
      </c>
      <c r="B279" s="80" t="s">
        <v>219</v>
      </c>
      <c r="C279" s="80" t="s">
        <v>427</v>
      </c>
      <c r="D279" s="80"/>
      <c r="E279" s="80"/>
      <c r="F279" s="80"/>
      <c r="G279" s="80"/>
      <c r="H279" s="80" t="s">
        <v>430</v>
      </c>
      <c r="I279" s="80"/>
      <c r="J279" s="80"/>
      <c r="K279" s="80"/>
      <c r="L279" s="80"/>
      <c r="M279" s="80"/>
      <c r="N279" s="80"/>
      <c r="O279" s="81"/>
      <c r="P279" s="81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3"/>
    </row>
    <row r="280" spans="1:29" s="2" customFormat="1" ht="31" x14ac:dyDescent="0.35">
      <c r="A280" s="79" t="s">
        <v>218</v>
      </c>
      <c r="B280" s="80" t="s">
        <v>219</v>
      </c>
      <c r="C280" s="80" t="s">
        <v>427</v>
      </c>
      <c r="D280" s="80"/>
      <c r="E280" s="80"/>
      <c r="F280" s="80"/>
      <c r="G280" s="80"/>
      <c r="H280" s="80" t="s">
        <v>431</v>
      </c>
      <c r="I280" s="80"/>
      <c r="J280" s="80"/>
      <c r="K280" s="80"/>
      <c r="L280" s="80"/>
      <c r="M280" s="80"/>
      <c r="N280" s="80"/>
      <c r="O280" s="81"/>
      <c r="P280" s="81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3"/>
    </row>
    <row r="281" spans="1:29" s="2" customFormat="1" ht="31" x14ac:dyDescent="0.35">
      <c r="A281" s="79" t="s">
        <v>218</v>
      </c>
      <c r="B281" s="80" t="s">
        <v>219</v>
      </c>
      <c r="C281" s="80" t="s">
        <v>427</v>
      </c>
      <c r="D281" s="80"/>
      <c r="E281" s="80"/>
      <c r="F281" s="80"/>
      <c r="G281" s="80"/>
      <c r="H281" s="80" t="s">
        <v>432</v>
      </c>
      <c r="I281" s="80"/>
      <c r="J281" s="80"/>
      <c r="K281" s="80"/>
      <c r="L281" s="80"/>
      <c r="M281" s="80"/>
      <c r="N281" s="80"/>
      <c r="O281" s="81"/>
      <c r="P281" s="81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3"/>
    </row>
    <row r="282" spans="1:29" s="2" customFormat="1" ht="31" x14ac:dyDescent="0.35">
      <c r="A282" s="79" t="s">
        <v>218</v>
      </c>
      <c r="B282" s="80" t="s">
        <v>219</v>
      </c>
      <c r="C282" s="80" t="s">
        <v>427</v>
      </c>
      <c r="D282" s="80"/>
      <c r="E282" s="80"/>
      <c r="F282" s="80"/>
      <c r="G282" s="80"/>
      <c r="H282" s="80" t="s">
        <v>433</v>
      </c>
      <c r="I282" s="80"/>
      <c r="J282" s="80"/>
      <c r="K282" s="80"/>
      <c r="L282" s="80"/>
      <c r="M282" s="80"/>
      <c r="N282" s="80"/>
      <c r="O282" s="81"/>
      <c r="P282" s="81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3"/>
    </row>
    <row r="283" spans="1:29" s="2" customFormat="1" ht="31" x14ac:dyDescent="0.35">
      <c r="A283" s="79" t="s">
        <v>218</v>
      </c>
      <c r="B283" s="80" t="s">
        <v>219</v>
      </c>
      <c r="C283" s="80" t="s">
        <v>427</v>
      </c>
      <c r="D283" s="80"/>
      <c r="E283" s="80"/>
      <c r="F283" s="80"/>
      <c r="G283" s="80"/>
      <c r="H283" s="80" t="s">
        <v>434</v>
      </c>
      <c r="I283" s="80"/>
      <c r="J283" s="80"/>
      <c r="K283" s="80"/>
      <c r="L283" s="80"/>
      <c r="M283" s="80"/>
      <c r="N283" s="80"/>
      <c r="O283" s="81"/>
      <c r="P283" s="81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3"/>
    </row>
    <row r="284" spans="1:29" s="2" customFormat="1" ht="31" x14ac:dyDescent="0.35">
      <c r="A284" s="79" t="s">
        <v>218</v>
      </c>
      <c r="B284" s="80" t="s">
        <v>219</v>
      </c>
      <c r="C284" s="80" t="s">
        <v>427</v>
      </c>
      <c r="D284" s="80"/>
      <c r="E284" s="80"/>
      <c r="F284" s="80"/>
      <c r="G284" s="80"/>
      <c r="H284" s="80" t="s">
        <v>435</v>
      </c>
      <c r="I284" s="80"/>
      <c r="J284" s="80"/>
      <c r="K284" s="80"/>
      <c r="L284" s="80"/>
      <c r="M284" s="80"/>
      <c r="N284" s="80"/>
      <c r="O284" s="81"/>
      <c r="P284" s="81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3"/>
    </row>
    <row r="285" spans="1:29" s="2" customFormat="1" ht="31" x14ac:dyDescent="0.35">
      <c r="A285" s="79" t="s">
        <v>218</v>
      </c>
      <c r="B285" s="80" t="s">
        <v>219</v>
      </c>
      <c r="C285" s="80" t="s">
        <v>427</v>
      </c>
      <c r="D285" s="80"/>
      <c r="E285" s="80"/>
      <c r="F285" s="80"/>
      <c r="G285" s="80"/>
      <c r="H285" s="80" t="s">
        <v>436</v>
      </c>
      <c r="I285" s="80"/>
      <c r="J285" s="80"/>
      <c r="K285" s="80"/>
      <c r="L285" s="80"/>
      <c r="M285" s="80"/>
      <c r="N285" s="80"/>
      <c r="O285" s="81"/>
      <c r="P285" s="81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3"/>
    </row>
    <row r="286" spans="1:29" s="2" customFormat="1" ht="31" x14ac:dyDescent="0.35">
      <c r="A286" s="79" t="s">
        <v>218</v>
      </c>
      <c r="B286" s="80" t="s">
        <v>219</v>
      </c>
      <c r="C286" s="80" t="s">
        <v>427</v>
      </c>
      <c r="D286" s="80"/>
      <c r="E286" s="80"/>
      <c r="F286" s="80"/>
      <c r="G286" s="80"/>
      <c r="H286" s="80" t="s">
        <v>437</v>
      </c>
      <c r="I286" s="80"/>
      <c r="J286" s="80"/>
      <c r="K286" s="80"/>
      <c r="L286" s="80"/>
      <c r="M286" s="80"/>
      <c r="N286" s="80"/>
      <c r="O286" s="81"/>
      <c r="P286" s="81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3"/>
    </row>
    <row r="287" spans="1:29" s="2" customFormat="1" ht="31" x14ac:dyDescent="0.35">
      <c r="A287" s="79" t="s">
        <v>218</v>
      </c>
      <c r="B287" s="80" t="s">
        <v>219</v>
      </c>
      <c r="C287" s="80" t="s">
        <v>427</v>
      </c>
      <c r="D287" s="80"/>
      <c r="E287" s="80"/>
      <c r="F287" s="80"/>
      <c r="G287" s="80"/>
      <c r="H287" s="80" t="s">
        <v>438</v>
      </c>
      <c r="I287" s="80"/>
      <c r="J287" s="80"/>
      <c r="K287" s="80"/>
      <c r="L287" s="80"/>
      <c r="M287" s="80"/>
      <c r="N287" s="80"/>
      <c r="O287" s="81"/>
      <c r="P287" s="81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3"/>
    </row>
    <row r="288" spans="1:29" s="2" customFormat="1" ht="31" x14ac:dyDescent="0.35">
      <c r="A288" s="79" t="s">
        <v>218</v>
      </c>
      <c r="B288" s="80" t="s">
        <v>219</v>
      </c>
      <c r="C288" s="80" t="s">
        <v>427</v>
      </c>
      <c r="D288" s="80"/>
      <c r="E288" s="80"/>
      <c r="F288" s="80"/>
      <c r="G288" s="80"/>
      <c r="H288" s="80" t="s">
        <v>439</v>
      </c>
      <c r="I288" s="80"/>
      <c r="J288" s="80"/>
      <c r="K288" s="80"/>
      <c r="L288" s="80"/>
      <c r="M288" s="80"/>
      <c r="N288" s="80"/>
      <c r="O288" s="81"/>
      <c r="P288" s="81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3"/>
    </row>
    <row r="289" spans="1:29" s="2" customFormat="1" ht="31" x14ac:dyDescent="0.35">
      <c r="A289" s="79" t="s">
        <v>218</v>
      </c>
      <c r="B289" s="80" t="s">
        <v>219</v>
      </c>
      <c r="C289" s="80" t="s">
        <v>427</v>
      </c>
      <c r="D289" s="80"/>
      <c r="E289" s="80"/>
      <c r="F289" s="80"/>
      <c r="G289" s="80"/>
      <c r="H289" s="80" t="s">
        <v>440</v>
      </c>
      <c r="I289" s="80"/>
      <c r="J289" s="80"/>
      <c r="K289" s="80"/>
      <c r="L289" s="80"/>
      <c r="M289" s="80"/>
      <c r="N289" s="80"/>
      <c r="O289" s="81"/>
      <c r="P289" s="81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3"/>
    </row>
    <row r="290" spans="1:29" s="2" customFormat="1" ht="31" x14ac:dyDescent="0.35">
      <c r="A290" s="79" t="s">
        <v>218</v>
      </c>
      <c r="B290" s="80" t="s">
        <v>219</v>
      </c>
      <c r="C290" s="80" t="s">
        <v>427</v>
      </c>
      <c r="D290" s="80"/>
      <c r="E290" s="80"/>
      <c r="F290" s="80"/>
      <c r="G290" s="80"/>
      <c r="H290" s="80" t="s">
        <v>441</v>
      </c>
      <c r="I290" s="80"/>
      <c r="J290" s="80"/>
      <c r="K290" s="80"/>
      <c r="L290" s="80"/>
      <c r="M290" s="80"/>
      <c r="N290" s="80"/>
      <c r="O290" s="81"/>
      <c r="P290" s="81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3"/>
    </row>
    <row r="291" spans="1:29" s="2" customFormat="1" ht="31" x14ac:dyDescent="0.35">
      <c r="A291" s="79" t="s">
        <v>218</v>
      </c>
      <c r="B291" s="80" t="s">
        <v>219</v>
      </c>
      <c r="C291" s="80" t="s">
        <v>427</v>
      </c>
      <c r="D291" s="80"/>
      <c r="E291" s="80"/>
      <c r="F291" s="80"/>
      <c r="G291" s="80"/>
      <c r="H291" s="80" t="s">
        <v>442</v>
      </c>
      <c r="I291" s="80"/>
      <c r="J291" s="80"/>
      <c r="K291" s="80"/>
      <c r="L291" s="80"/>
      <c r="M291" s="80"/>
      <c r="N291" s="80"/>
      <c r="O291" s="81"/>
      <c r="P291" s="81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3"/>
    </row>
    <row r="292" spans="1:29" s="2" customFormat="1" ht="31" x14ac:dyDescent="0.35">
      <c r="A292" s="79" t="s">
        <v>218</v>
      </c>
      <c r="B292" s="80" t="s">
        <v>219</v>
      </c>
      <c r="C292" s="80" t="s">
        <v>427</v>
      </c>
      <c r="D292" s="80"/>
      <c r="E292" s="80"/>
      <c r="F292" s="80"/>
      <c r="G292" s="80"/>
      <c r="H292" s="80" t="s">
        <v>443</v>
      </c>
      <c r="I292" s="80"/>
      <c r="J292" s="80"/>
      <c r="K292" s="125"/>
      <c r="L292" s="125"/>
      <c r="M292" s="125"/>
      <c r="N292" s="125"/>
      <c r="O292" s="126"/>
      <c r="P292" s="126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3"/>
    </row>
    <row r="293" spans="1:29" ht="46.5" x14ac:dyDescent="0.35">
      <c r="A293" s="71" t="s">
        <v>218</v>
      </c>
      <c r="B293" s="83" t="s">
        <v>219</v>
      </c>
      <c r="C293" s="84" t="s">
        <v>444</v>
      </c>
      <c r="D293" s="89" t="s">
        <v>114</v>
      </c>
      <c r="E293" s="84"/>
      <c r="F293" s="84"/>
      <c r="G293" s="84"/>
      <c r="H293" s="83" t="s">
        <v>445</v>
      </c>
      <c r="I293" s="84" t="s">
        <v>222</v>
      </c>
      <c r="J293" s="133" t="s">
        <v>375</v>
      </c>
      <c r="K293" s="83" t="s">
        <v>75</v>
      </c>
      <c r="L293" s="83"/>
      <c r="M293" s="127" t="s">
        <v>376</v>
      </c>
      <c r="N293" s="134">
        <v>2890</v>
      </c>
      <c r="O293" s="134">
        <v>3020</v>
      </c>
      <c r="P293" s="135"/>
      <c r="Q293" s="130"/>
      <c r="R293" s="93" t="s">
        <v>45</v>
      </c>
      <c r="S293" s="87"/>
      <c r="T293" s="87"/>
      <c r="U293" s="87"/>
      <c r="V293" s="87"/>
      <c r="W293" s="87"/>
      <c r="X293" s="93" t="s">
        <v>86</v>
      </c>
      <c r="Y293" s="87"/>
      <c r="Z293" s="87"/>
      <c r="AA293" s="87"/>
      <c r="AB293" s="87"/>
      <c r="AC293" s="8"/>
    </row>
    <row r="294" spans="1:29" s="2" customFormat="1" ht="31" x14ac:dyDescent="0.35">
      <c r="A294" s="79" t="s">
        <v>218</v>
      </c>
      <c r="B294" s="80" t="s">
        <v>219</v>
      </c>
      <c r="C294" s="80" t="s">
        <v>444</v>
      </c>
      <c r="D294" s="80"/>
      <c r="E294" s="80"/>
      <c r="F294" s="80"/>
      <c r="G294" s="80"/>
      <c r="H294" s="80" t="s">
        <v>446</v>
      </c>
      <c r="I294" s="80"/>
      <c r="J294" s="80"/>
      <c r="K294" s="131"/>
      <c r="L294" s="131"/>
      <c r="M294" s="131"/>
      <c r="N294" s="131"/>
      <c r="O294" s="132"/>
      <c r="P294" s="13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3"/>
    </row>
    <row r="295" spans="1:29" s="2" customFormat="1" ht="31" x14ac:dyDescent="0.35">
      <c r="A295" s="79" t="s">
        <v>218</v>
      </c>
      <c r="B295" s="80" t="s">
        <v>219</v>
      </c>
      <c r="C295" s="80" t="s">
        <v>444</v>
      </c>
      <c r="D295" s="80"/>
      <c r="E295" s="80"/>
      <c r="F295" s="80"/>
      <c r="G295" s="80"/>
      <c r="H295" s="80" t="s">
        <v>447</v>
      </c>
      <c r="I295" s="80"/>
      <c r="J295" s="80"/>
      <c r="K295" s="80"/>
      <c r="L295" s="80"/>
      <c r="M295" s="80"/>
      <c r="N295" s="80"/>
      <c r="O295" s="81"/>
      <c r="P295" s="81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3"/>
    </row>
    <row r="296" spans="1:29" s="2" customFormat="1" ht="31" x14ac:dyDescent="0.35">
      <c r="A296" s="79" t="s">
        <v>218</v>
      </c>
      <c r="B296" s="80" t="s">
        <v>219</v>
      </c>
      <c r="C296" s="80" t="s">
        <v>444</v>
      </c>
      <c r="D296" s="80"/>
      <c r="E296" s="80"/>
      <c r="F296" s="80"/>
      <c r="G296" s="80"/>
      <c r="H296" s="80" t="s">
        <v>448</v>
      </c>
      <c r="I296" s="80"/>
      <c r="J296" s="80"/>
      <c r="K296" s="80"/>
      <c r="L296" s="80"/>
      <c r="M296" s="80"/>
      <c r="N296" s="80"/>
      <c r="O296" s="81"/>
      <c r="P296" s="81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3"/>
    </row>
    <row r="297" spans="1:29" s="2" customFormat="1" ht="31" x14ac:dyDescent="0.35">
      <c r="A297" s="79" t="s">
        <v>218</v>
      </c>
      <c r="B297" s="80" t="s">
        <v>219</v>
      </c>
      <c r="C297" s="80" t="s">
        <v>444</v>
      </c>
      <c r="D297" s="80"/>
      <c r="E297" s="80"/>
      <c r="F297" s="80"/>
      <c r="G297" s="80"/>
      <c r="H297" s="80" t="s">
        <v>449</v>
      </c>
      <c r="I297" s="80"/>
      <c r="J297" s="80"/>
      <c r="K297" s="80"/>
      <c r="L297" s="80"/>
      <c r="M297" s="80"/>
      <c r="N297" s="80"/>
      <c r="O297" s="81"/>
      <c r="P297" s="81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3"/>
    </row>
    <row r="298" spans="1:29" s="2" customFormat="1" ht="31" x14ac:dyDescent="0.35">
      <c r="A298" s="79" t="s">
        <v>218</v>
      </c>
      <c r="B298" s="80" t="s">
        <v>219</v>
      </c>
      <c r="C298" s="80" t="s">
        <v>444</v>
      </c>
      <c r="D298" s="80"/>
      <c r="E298" s="80"/>
      <c r="F298" s="80"/>
      <c r="G298" s="80"/>
      <c r="H298" s="80" t="s">
        <v>450</v>
      </c>
      <c r="I298" s="80"/>
      <c r="J298" s="80"/>
      <c r="K298" s="80"/>
      <c r="L298" s="80"/>
      <c r="M298" s="80"/>
      <c r="N298" s="80"/>
      <c r="O298" s="81"/>
      <c r="P298" s="81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3"/>
    </row>
    <row r="299" spans="1:29" s="2" customFormat="1" ht="31" x14ac:dyDescent="0.35">
      <c r="A299" s="79" t="s">
        <v>218</v>
      </c>
      <c r="B299" s="80" t="s">
        <v>219</v>
      </c>
      <c r="C299" s="80" t="s">
        <v>444</v>
      </c>
      <c r="D299" s="80"/>
      <c r="E299" s="80"/>
      <c r="F299" s="80"/>
      <c r="G299" s="80"/>
      <c r="H299" s="80" t="s">
        <v>451</v>
      </c>
      <c r="I299" s="80"/>
      <c r="J299" s="80"/>
      <c r="K299" s="80"/>
      <c r="L299" s="80"/>
      <c r="M299" s="80"/>
      <c r="N299" s="80"/>
      <c r="O299" s="81"/>
      <c r="P299" s="81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3"/>
    </row>
    <row r="300" spans="1:29" s="2" customFormat="1" ht="31" x14ac:dyDescent="0.35">
      <c r="A300" s="79" t="s">
        <v>218</v>
      </c>
      <c r="B300" s="80" t="s">
        <v>219</v>
      </c>
      <c r="C300" s="80" t="s">
        <v>444</v>
      </c>
      <c r="D300" s="80"/>
      <c r="E300" s="80"/>
      <c r="F300" s="80"/>
      <c r="G300" s="80"/>
      <c r="H300" s="80" t="s">
        <v>452</v>
      </c>
      <c r="I300" s="80"/>
      <c r="J300" s="80"/>
      <c r="K300" s="80"/>
      <c r="L300" s="80"/>
      <c r="M300" s="80"/>
      <c r="N300" s="80"/>
      <c r="O300" s="81"/>
      <c r="P300" s="81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3"/>
    </row>
    <row r="301" spans="1:29" s="2" customFormat="1" ht="31" x14ac:dyDescent="0.35">
      <c r="A301" s="79" t="s">
        <v>218</v>
      </c>
      <c r="B301" s="80" t="s">
        <v>219</v>
      </c>
      <c r="C301" s="80" t="s">
        <v>444</v>
      </c>
      <c r="D301" s="80"/>
      <c r="E301" s="80"/>
      <c r="F301" s="80"/>
      <c r="G301" s="80"/>
      <c r="H301" s="80" t="s">
        <v>453</v>
      </c>
      <c r="I301" s="80"/>
      <c r="J301" s="80"/>
      <c r="K301" s="80"/>
      <c r="L301" s="80"/>
      <c r="M301" s="80"/>
      <c r="N301" s="80"/>
      <c r="O301" s="81"/>
      <c r="P301" s="81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3"/>
    </row>
    <row r="302" spans="1:29" s="2" customFormat="1" ht="31" x14ac:dyDescent="0.35">
      <c r="A302" s="79" t="s">
        <v>218</v>
      </c>
      <c r="B302" s="80" t="s">
        <v>219</v>
      </c>
      <c r="C302" s="80" t="s">
        <v>444</v>
      </c>
      <c r="D302" s="80"/>
      <c r="E302" s="80"/>
      <c r="F302" s="80"/>
      <c r="G302" s="80"/>
      <c r="H302" s="80" t="s">
        <v>454</v>
      </c>
      <c r="I302" s="80"/>
      <c r="J302" s="80"/>
      <c r="K302" s="80"/>
      <c r="L302" s="80"/>
      <c r="M302" s="80"/>
      <c r="N302" s="80"/>
      <c r="O302" s="81"/>
      <c r="P302" s="81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3"/>
    </row>
    <row r="303" spans="1:29" s="2" customFormat="1" ht="31" x14ac:dyDescent="0.35">
      <c r="A303" s="79" t="s">
        <v>218</v>
      </c>
      <c r="B303" s="80" t="s">
        <v>219</v>
      </c>
      <c r="C303" s="80" t="s">
        <v>444</v>
      </c>
      <c r="D303" s="80"/>
      <c r="E303" s="80"/>
      <c r="F303" s="80"/>
      <c r="G303" s="80"/>
      <c r="H303" s="80" t="s">
        <v>455</v>
      </c>
      <c r="I303" s="80"/>
      <c r="J303" s="80"/>
      <c r="K303" s="80"/>
      <c r="L303" s="80"/>
      <c r="M303" s="80"/>
      <c r="N303" s="80"/>
      <c r="O303" s="81"/>
      <c r="P303" s="81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3"/>
    </row>
    <row r="304" spans="1:29" s="2" customFormat="1" ht="31" x14ac:dyDescent="0.35">
      <c r="A304" s="79" t="s">
        <v>218</v>
      </c>
      <c r="B304" s="80" t="s">
        <v>219</v>
      </c>
      <c r="C304" s="80" t="s">
        <v>444</v>
      </c>
      <c r="D304" s="80"/>
      <c r="E304" s="80"/>
      <c r="F304" s="80"/>
      <c r="G304" s="80"/>
      <c r="H304" s="80" t="s">
        <v>456</v>
      </c>
      <c r="I304" s="80"/>
      <c r="J304" s="80"/>
      <c r="K304" s="80"/>
      <c r="L304" s="80"/>
      <c r="M304" s="80"/>
      <c r="N304" s="80"/>
      <c r="O304" s="81"/>
      <c r="P304" s="81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3"/>
    </row>
    <row r="305" spans="1:29" s="2" customFormat="1" ht="31" x14ac:dyDescent="0.35">
      <c r="A305" s="79" t="s">
        <v>218</v>
      </c>
      <c r="B305" s="80" t="s">
        <v>219</v>
      </c>
      <c r="C305" s="80" t="s">
        <v>444</v>
      </c>
      <c r="D305" s="80"/>
      <c r="E305" s="80"/>
      <c r="F305" s="80"/>
      <c r="G305" s="80"/>
      <c r="H305" s="80" t="s">
        <v>457</v>
      </c>
      <c r="I305" s="80"/>
      <c r="J305" s="80"/>
      <c r="K305" s="80"/>
      <c r="L305" s="80"/>
      <c r="M305" s="80"/>
      <c r="N305" s="80"/>
      <c r="O305" s="81"/>
      <c r="P305" s="81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3"/>
    </row>
    <row r="306" spans="1:29" s="2" customFormat="1" ht="31" x14ac:dyDescent="0.35">
      <c r="A306" s="79" t="s">
        <v>218</v>
      </c>
      <c r="B306" s="80" t="s">
        <v>219</v>
      </c>
      <c r="C306" s="80" t="s">
        <v>444</v>
      </c>
      <c r="D306" s="80"/>
      <c r="E306" s="80"/>
      <c r="F306" s="80"/>
      <c r="G306" s="80"/>
      <c r="H306" s="80" t="s">
        <v>458</v>
      </c>
      <c r="I306" s="80"/>
      <c r="J306" s="80"/>
      <c r="K306" s="80"/>
      <c r="L306" s="80"/>
      <c r="M306" s="80"/>
      <c r="N306" s="80"/>
      <c r="O306" s="81"/>
      <c r="P306" s="81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3"/>
    </row>
    <row r="307" spans="1:29" s="2" customFormat="1" ht="31" x14ac:dyDescent="0.35">
      <c r="A307" s="79" t="s">
        <v>218</v>
      </c>
      <c r="B307" s="80" t="s">
        <v>219</v>
      </c>
      <c r="C307" s="80" t="s">
        <v>444</v>
      </c>
      <c r="D307" s="80"/>
      <c r="E307" s="80"/>
      <c r="F307" s="80"/>
      <c r="G307" s="80"/>
      <c r="H307" s="80" t="s">
        <v>459</v>
      </c>
      <c r="I307" s="80"/>
      <c r="J307" s="80"/>
      <c r="K307" s="80"/>
      <c r="L307" s="80"/>
      <c r="M307" s="80"/>
      <c r="N307" s="80"/>
      <c r="O307" s="81"/>
      <c r="P307" s="81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3"/>
    </row>
    <row r="308" spans="1:29" s="2" customFormat="1" ht="31" x14ac:dyDescent="0.35">
      <c r="A308" s="79" t="s">
        <v>218</v>
      </c>
      <c r="B308" s="80" t="s">
        <v>219</v>
      </c>
      <c r="C308" s="80" t="s">
        <v>444</v>
      </c>
      <c r="D308" s="80"/>
      <c r="E308" s="80"/>
      <c r="F308" s="80"/>
      <c r="G308" s="80"/>
      <c r="H308" s="80" t="s">
        <v>460</v>
      </c>
      <c r="I308" s="80"/>
      <c r="J308" s="80"/>
      <c r="K308" s="80"/>
      <c r="L308" s="80"/>
      <c r="M308" s="80"/>
      <c r="N308" s="80"/>
      <c r="O308" s="81"/>
      <c r="P308" s="81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3"/>
    </row>
    <row r="309" spans="1:29" s="2" customFormat="1" ht="31" x14ac:dyDescent="0.35">
      <c r="A309" s="79" t="s">
        <v>218</v>
      </c>
      <c r="B309" s="80" t="s">
        <v>219</v>
      </c>
      <c r="C309" s="80" t="s">
        <v>444</v>
      </c>
      <c r="D309" s="80"/>
      <c r="E309" s="80"/>
      <c r="F309" s="80"/>
      <c r="G309" s="80"/>
      <c r="H309" s="80" t="s">
        <v>461</v>
      </c>
      <c r="I309" s="80"/>
      <c r="J309" s="80"/>
      <c r="K309" s="80"/>
      <c r="L309" s="80"/>
      <c r="M309" s="80"/>
      <c r="N309" s="80"/>
      <c r="O309" s="81"/>
      <c r="P309" s="81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3"/>
    </row>
    <row r="310" spans="1:29" s="2" customFormat="1" ht="31" x14ac:dyDescent="0.35">
      <c r="A310" s="79" t="s">
        <v>218</v>
      </c>
      <c r="B310" s="80" t="s">
        <v>219</v>
      </c>
      <c r="C310" s="80" t="s">
        <v>444</v>
      </c>
      <c r="D310" s="80"/>
      <c r="E310" s="80"/>
      <c r="F310" s="80"/>
      <c r="G310" s="80"/>
      <c r="H310" s="80" t="s">
        <v>462</v>
      </c>
      <c r="I310" s="80"/>
      <c r="J310" s="80"/>
      <c r="K310" s="80"/>
      <c r="L310" s="80"/>
      <c r="M310" s="80"/>
      <c r="N310" s="80"/>
      <c r="O310" s="81"/>
      <c r="P310" s="81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3"/>
    </row>
    <row r="311" spans="1:29" s="2" customFormat="1" ht="31" x14ac:dyDescent="0.35">
      <c r="A311" s="79" t="s">
        <v>218</v>
      </c>
      <c r="B311" s="80" t="s">
        <v>219</v>
      </c>
      <c r="C311" s="80" t="s">
        <v>444</v>
      </c>
      <c r="D311" s="80"/>
      <c r="E311" s="80"/>
      <c r="F311" s="80"/>
      <c r="G311" s="80"/>
      <c r="H311" s="80" t="s">
        <v>463</v>
      </c>
      <c r="I311" s="80"/>
      <c r="J311" s="80"/>
      <c r="K311" s="80"/>
      <c r="L311" s="80"/>
      <c r="M311" s="80"/>
      <c r="N311" s="80"/>
      <c r="O311" s="81"/>
      <c r="P311" s="81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3"/>
    </row>
    <row r="312" spans="1:29" s="2" customFormat="1" ht="31" x14ac:dyDescent="0.35">
      <c r="A312" s="79" t="s">
        <v>218</v>
      </c>
      <c r="B312" s="80" t="s">
        <v>219</v>
      </c>
      <c r="C312" s="80" t="s">
        <v>444</v>
      </c>
      <c r="D312" s="80"/>
      <c r="E312" s="80"/>
      <c r="F312" s="80"/>
      <c r="G312" s="80"/>
      <c r="H312" s="80" t="s">
        <v>464</v>
      </c>
      <c r="I312" s="80"/>
      <c r="J312" s="80"/>
      <c r="K312" s="80"/>
      <c r="L312" s="80"/>
      <c r="M312" s="80"/>
      <c r="N312" s="80"/>
      <c r="O312" s="81"/>
      <c r="P312" s="81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3"/>
    </row>
    <row r="313" spans="1:29" s="2" customFormat="1" ht="31" x14ac:dyDescent="0.35">
      <c r="A313" s="79" t="s">
        <v>218</v>
      </c>
      <c r="B313" s="80" t="s">
        <v>219</v>
      </c>
      <c r="C313" s="80" t="s">
        <v>444</v>
      </c>
      <c r="D313" s="80"/>
      <c r="E313" s="80"/>
      <c r="F313" s="80"/>
      <c r="G313" s="80"/>
      <c r="H313" s="80" t="s">
        <v>465</v>
      </c>
      <c r="I313" s="80"/>
      <c r="J313" s="80"/>
      <c r="K313" s="80"/>
      <c r="L313" s="80"/>
      <c r="M313" s="80"/>
      <c r="N313" s="80"/>
      <c r="O313" s="81"/>
      <c r="P313" s="81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3"/>
    </row>
    <row r="314" spans="1:29" s="2" customFormat="1" ht="31" x14ac:dyDescent="0.35">
      <c r="A314" s="79" t="s">
        <v>218</v>
      </c>
      <c r="B314" s="80" t="s">
        <v>219</v>
      </c>
      <c r="C314" s="80" t="s">
        <v>444</v>
      </c>
      <c r="D314" s="80"/>
      <c r="E314" s="80"/>
      <c r="F314" s="80"/>
      <c r="G314" s="80"/>
      <c r="H314" s="80" t="s">
        <v>466</v>
      </c>
      <c r="I314" s="80"/>
      <c r="J314" s="80"/>
      <c r="K314" s="80"/>
      <c r="L314" s="80"/>
      <c r="M314" s="80"/>
      <c r="N314" s="80"/>
      <c r="O314" s="81"/>
      <c r="P314" s="81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3"/>
    </row>
    <row r="315" spans="1:29" s="2" customFormat="1" ht="31" x14ac:dyDescent="0.35">
      <c r="A315" s="79" t="s">
        <v>218</v>
      </c>
      <c r="B315" s="80" t="s">
        <v>219</v>
      </c>
      <c r="C315" s="80" t="s">
        <v>444</v>
      </c>
      <c r="D315" s="80"/>
      <c r="E315" s="80"/>
      <c r="F315" s="80"/>
      <c r="G315" s="80"/>
      <c r="H315" s="80" t="s">
        <v>467</v>
      </c>
      <c r="I315" s="80"/>
      <c r="J315" s="80"/>
      <c r="K315" s="80"/>
      <c r="L315" s="80"/>
      <c r="M315" s="80"/>
      <c r="N315" s="80"/>
      <c r="O315" s="81"/>
      <c r="P315" s="81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3"/>
    </row>
    <row r="316" spans="1:29" s="2" customFormat="1" ht="31" x14ac:dyDescent="0.35">
      <c r="A316" s="79" t="s">
        <v>218</v>
      </c>
      <c r="B316" s="80" t="s">
        <v>219</v>
      </c>
      <c r="C316" s="80" t="s">
        <v>444</v>
      </c>
      <c r="D316" s="80"/>
      <c r="E316" s="80"/>
      <c r="F316" s="80"/>
      <c r="G316" s="80"/>
      <c r="H316" s="80" t="s">
        <v>468</v>
      </c>
      <c r="I316" s="80"/>
      <c r="J316" s="80"/>
      <c r="K316" s="80"/>
      <c r="L316" s="80"/>
      <c r="M316" s="80"/>
      <c r="N316" s="80"/>
      <c r="O316" s="81"/>
      <c r="P316" s="81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3"/>
    </row>
    <row r="317" spans="1:29" s="2" customFormat="1" ht="31" x14ac:dyDescent="0.35">
      <c r="A317" s="79" t="s">
        <v>218</v>
      </c>
      <c r="B317" s="80" t="s">
        <v>219</v>
      </c>
      <c r="C317" s="80" t="s">
        <v>444</v>
      </c>
      <c r="D317" s="80"/>
      <c r="E317" s="80"/>
      <c r="F317" s="80"/>
      <c r="G317" s="80"/>
      <c r="H317" s="80" t="s">
        <v>469</v>
      </c>
      <c r="I317" s="80"/>
      <c r="J317" s="125"/>
      <c r="K317" s="125"/>
      <c r="L317" s="125"/>
      <c r="M317" s="125"/>
      <c r="N317" s="125"/>
      <c r="O317" s="126"/>
      <c r="P317" s="126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3"/>
    </row>
    <row r="318" spans="1:29" ht="46.5" x14ac:dyDescent="0.35">
      <c r="A318" s="71" t="s">
        <v>218</v>
      </c>
      <c r="B318" s="83" t="s">
        <v>219</v>
      </c>
      <c r="C318" s="84" t="s">
        <v>470</v>
      </c>
      <c r="D318" s="84"/>
      <c r="E318" s="85" t="s">
        <v>72</v>
      </c>
      <c r="F318" s="84"/>
      <c r="G318" s="85" t="s">
        <v>72</v>
      </c>
      <c r="H318" s="83" t="s">
        <v>471</v>
      </c>
      <c r="I318" s="84" t="s">
        <v>222</v>
      </c>
      <c r="J318" s="83" t="s">
        <v>375</v>
      </c>
      <c r="K318" s="83" t="s">
        <v>75</v>
      </c>
      <c r="L318" s="83"/>
      <c r="M318" s="127" t="s">
        <v>376</v>
      </c>
      <c r="N318" s="134" t="s">
        <v>472</v>
      </c>
      <c r="O318" s="134" t="s">
        <v>472</v>
      </c>
      <c r="P318" s="135"/>
      <c r="Q318" s="130"/>
      <c r="R318" s="87"/>
      <c r="S318" s="87"/>
      <c r="T318" s="87"/>
      <c r="U318" s="87"/>
      <c r="V318" s="87"/>
      <c r="W318" s="87"/>
      <c r="X318" s="93" t="s">
        <v>86</v>
      </c>
      <c r="Y318" s="87"/>
      <c r="Z318" s="87"/>
      <c r="AA318" s="87"/>
      <c r="AB318" s="87"/>
      <c r="AC318" s="8"/>
    </row>
    <row r="319" spans="1:29" s="2" customFormat="1" ht="31" x14ac:dyDescent="0.35">
      <c r="A319" s="79" t="s">
        <v>218</v>
      </c>
      <c r="B319" s="80" t="s">
        <v>219</v>
      </c>
      <c r="C319" s="80" t="s">
        <v>470</v>
      </c>
      <c r="D319" s="80"/>
      <c r="E319" s="80"/>
      <c r="F319" s="80"/>
      <c r="G319" s="80"/>
      <c r="H319" s="80" t="s">
        <v>473</v>
      </c>
      <c r="I319" s="80"/>
      <c r="J319" s="131"/>
      <c r="K319" s="131"/>
      <c r="L319" s="131"/>
      <c r="M319" s="131"/>
      <c r="N319" s="131"/>
      <c r="O319" s="132"/>
      <c r="P319" s="13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3"/>
    </row>
    <row r="320" spans="1:29" s="2" customFormat="1" ht="31" x14ac:dyDescent="0.35">
      <c r="A320" s="79" t="s">
        <v>218</v>
      </c>
      <c r="B320" s="80" t="s">
        <v>219</v>
      </c>
      <c r="C320" s="80" t="s">
        <v>470</v>
      </c>
      <c r="D320" s="80"/>
      <c r="E320" s="80"/>
      <c r="F320" s="80"/>
      <c r="G320" s="80"/>
      <c r="H320" s="80" t="s">
        <v>474</v>
      </c>
      <c r="I320" s="80"/>
      <c r="J320" s="80"/>
      <c r="K320" s="80"/>
      <c r="L320" s="80"/>
      <c r="M320" s="80"/>
      <c r="N320" s="80"/>
      <c r="O320" s="81"/>
      <c r="P320" s="81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3"/>
    </row>
    <row r="321" spans="1:29" s="2" customFormat="1" ht="31" x14ac:dyDescent="0.35">
      <c r="A321" s="79" t="s">
        <v>218</v>
      </c>
      <c r="B321" s="80" t="s">
        <v>219</v>
      </c>
      <c r="C321" s="80" t="s">
        <v>470</v>
      </c>
      <c r="D321" s="80"/>
      <c r="E321" s="80"/>
      <c r="F321" s="80"/>
      <c r="G321" s="80"/>
      <c r="H321" s="80" t="s">
        <v>475</v>
      </c>
      <c r="I321" s="80"/>
      <c r="J321" s="80"/>
      <c r="K321" s="80"/>
      <c r="L321" s="80"/>
      <c r="M321" s="80"/>
      <c r="N321" s="80"/>
      <c r="O321" s="81"/>
      <c r="P321" s="81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3"/>
    </row>
    <row r="322" spans="1:29" s="2" customFormat="1" ht="31" x14ac:dyDescent="0.35">
      <c r="A322" s="79" t="s">
        <v>218</v>
      </c>
      <c r="B322" s="80" t="s">
        <v>219</v>
      </c>
      <c r="C322" s="80" t="s">
        <v>470</v>
      </c>
      <c r="D322" s="80"/>
      <c r="E322" s="80"/>
      <c r="F322" s="80"/>
      <c r="G322" s="80"/>
      <c r="H322" s="80" t="s">
        <v>476</v>
      </c>
      <c r="I322" s="80"/>
      <c r="J322" s="80"/>
      <c r="K322" s="80"/>
      <c r="L322" s="80"/>
      <c r="M322" s="80"/>
      <c r="N322" s="80"/>
      <c r="O322" s="81"/>
      <c r="P322" s="81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3"/>
    </row>
    <row r="323" spans="1:29" s="2" customFormat="1" ht="31" x14ac:dyDescent="0.35">
      <c r="A323" s="79" t="s">
        <v>218</v>
      </c>
      <c r="B323" s="80" t="s">
        <v>219</v>
      </c>
      <c r="C323" s="80" t="s">
        <v>470</v>
      </c>
      <c r="D323" s="80"/>
      <c r="E323" s="80"/>
      <c r="F323" s="80"/>
      <c r="G323" s="80"/>
      <c r="H323" s="80" t="s">
        <v>477</v>
      </c>
      <c r="I323" s="80"/>
      <c r="J323" s="80"/>
      <c r="K323" s="80"/>
      <c r="L323" s="80"/>
      <c r="M323" s="80"/>
      <c r="N323" s="80"/>
      <c r="O323" s="81"/>
      <c r="P323" s="81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3"/>
    </row>
    <row r="324" spans="1:29" s="2" customFormat="1" ht="31" x14ac:dyDescent="0.35">
      <c r="A324" s="79" t="s">
        <v>218</v>
      </c>
      <c r="B324" s="80" t="s">
        <v>219</v>
      </c>
      <c r="C324" s="80" t="s">
        <v>470</v>
      </c>
      <c r="D324" s="80"/>
      <c r="E324" s="80"/>
      <c r="F324" s="80"/>
      <c r="G324" s="80"/>
      <c r="H324" s="80" t="s">
        <v>478</v>
      </c>
      <c r="I324" s="80"/>
      <c r="J324" s="80"/>
      <c r="K324" s="80"/>
      <c r="L324" s="80"/>
      <c r="M324" s="80"/>
      <c r="N324" s="80"/>
      <c r="O324" s="81"/>
      <c r="P324" s="81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3"/>
    </row>
    <row r="325" spans="1:29" s="2" customFormat="1" ht="31" x14ac:dyDescent="0.35">
      <c r="A325" s="79" t="s">
        <v>218</v>
      </c>
      <c r="B325" s="80" t="s">
        <v>219</v>
      </c>
      <c r="C325" s="80" t="s">
        <v>470</v>
      </c>
      <c r="D325" s="80"/>
      <c r="E325" s="80"/>
      <c r="F325" s="80"/>
      <c r="G325" s="80"/>
      <c r="H325" s="80" t="s">
        <v>479</v>
      </c>
      <c r="I325" s="80"/>
      <c r="J325" s="80"/>
      <c r="K325" s="80"/>
      <c r="L325" s="80"/>
      <c r="M325" s="80"/>
      <c r="N325" s="80"/>
      <c r="O325" s="81"/>
      <c r="P325" s="81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3"/>
    </row>
    <row r="326" spans="1:29" s="2" customFormat="1" ht="31" x14ac:dyDescent="0.35">
      <c r="A326" s="79" t="s">
        <v>218</v>
      </c>
      <c r="B326" s="80" t="s">
        <v>219</v>
      </c>
      <c r="C326" s="80" t="s">
        <v>470</v>
      </c>
      <c r="D326" s="80"/>
      <c r="E326" s="80"/>
      <c r="F326" s="80"/>
      <c r="G326" s="80"/>
      <c r="H326" s="80" t="s">
        <v>480</v>
      </c>
      <c r="I326" s="80"/>
      <c r="J326" s="80"/>
      <c r="K326" s="80"/>
      <c r="L326" s="80"/>
      <c r="M326" s="80"/>
      <c r="N326" s="80"/>
      <c r="O326" s="81"/>
      <c r="P326" s="81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3"/>
    </row>
    <row r="327" spans="1:29" s="2" customFormat="1" ht="31" x14ac:dyDescent="0.35">
      <c r="A327" s="79" t="s">
        <v>218</v>
      </c>
      <c r="B327" s="80" t="s">
        <v>219</v>
      </c>
      <c r="C327" s="80" t="s">
        <v>470</v>
      </c>
      <c r="D327" s="80"/>
      <c r="E327" s="80"/>
      <c r="F327" s="80"/>
      <c r="G327" s="80"/>
      <c r="H327" s="80" t="s">
        <v>481</v>
      </c>
      <c r="I327" s="80"/>
      <c r="J327" s="80"/>
      <c r="K327" s="80"/>
      <c r="L327" s="80"/>
      <c r="M327" s="80"/>
      <c r="N327" s="80"/>
      <c r="O327" s="81"/>
      <c r="P327" s="81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3"/>
    </row>
    <row r="328" spans="1:29" s="2" customFormat="1" ht="31" x14ac:dyDescent="0.35">
      <c r="A328" s="79" t="s">
        <v>218</v>
      </c>
      <c r="B328" s="80" t="s">
        <v>219</v>
      </c>
      <c r="C328" s="80" t="s">
        <v>482</v>
      </c>
      <c r="D328" s="80"/>
      <c r="E328" s="80"/>
      <c r="F328" s="80"/>
      <c r="G328" s="80"/>
      <c r="H328" s="80" t="s">
        <v>483</v>
      </c>
      <c r="I328" s="80"/>
      <c r="J328" s="80"/>
      <c r="K328" s="80"/>
      <c r="L328" s="80"/>
      <c r="M328" s="80"/>
      <c r="N328" s="80"/>
      <c r="O328" s="81"/>
      <c r="P328" s="81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3"/>
    </row>
    <row r="329" spans="1:29" s="2" customFormat="1" ht="31" x14ac:dyDescent="0.35">
      <c r="A329" s="79" t="s">
        <v>218</v>
      </c>
      <c r="B329" s="80" t="s">
        <v>219</v>
      </c>
      <c r="C329" s="80" t="s">
        <v>482</v>
      </c>
      <c r="D329" s="80"/>
      <c r="E329" s="80"/>
      <c r="F329" s="80"/>
      <c r="G329" s="80"/>
      <c r="H329" s="80" t="s">
        <v>484</v>
      </c>
      <c r="I329" s="80"/>
      <c r="J329" s="80"/>
      <c r="K329" s="80"/>
      <c r="L329" s="80"/>
      <c r="M329" s="80"/>
      <c r="N329" s="80"/>
      <c r="O329" s="81"/>
      <c r="P329" s="81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3"/>
    </row>
    <row r="330" spans="1:29" s="2" customFormat="1" ht="31" x14ac:dyDescent="0.35">
      <c r="A330" s="79" t="s">
        <v>218</v>
      </c>
      <c r="B330" s="80" t="s">
        <v>219</v>
      </c>
      <c r="C330" s="80" t="s">
        <v>482</v>
      </c>
      <c r="D330" s="80"/>
      <c r="E330" s="80"/>
      <c r="F330" s="80"/>
      <c r="G330" s="80"/>
      <c r="H330" s="80" t="s">
        <v>485</v>
      </c>
      <c r="I330" s="80"/>
      <c r="J330" s="80"/>
      <c r="K330" s="80"/>
      <c r="L330" s="80"/>
      <c r="M330" s="80"/>
      <c r="N330" s="80"/>
      <c r="O330" s="81"/>
      <c r="P330" s="81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3"/>
    </row>
    <row r="331" spans="1:29" s="2" customFormat="1" ht="31" x14ac:dyDescent="0.35">
      <c r="A331" s="79" t="s">
        <v>218</v>
      </c>
      <c r="B331" s="80" t="s">
        <v>219</v>
      </c>
      <c r="C331" s="80" t="s">
        <v>482</v>
      </c>
      <c r="D331" s="80"/>
      <c r="E331" s="80"/>
      <c r="F331" s="80"/>
      <c r="G331" s="80"/>
      <c r="H331" s="80" t="s">
        <v>486</v>
      </c>
      <c r="I331" s="80"/>
      <c r="J331" s="80"/>
      <c r="K331" s="80"/>
      <c r="L331" s="80"/>
      <c r="M331" s="80"/>
      <c r="N331" s="80"/>
      <c r="O331" s="81"/>
      <c r="P331" s="81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3"/>
    </row>
    <row r="332" spans="1:29" s="2" customFormat="1" ht="31" x14ac:dyDescent="0.35">
      <c r="A332" s="79" t="s">
        <v>218</v>
      </c>
      <c r="B332" s="80" t="s">
        <v>219</v>
      </c>
      <c r="C332" s="80" t="s">
        <v>482</v>
      </c>
      <c r="D332" s="80"/>
      <c r="E332" s="80"/>
      <c r="F332" s="80"/>
      <c r="G332" s="80"/>
      <c r="H332" s="80" t="s">
        <v>487</v>
      </c>
      <c r="I332" s="80"/>
      <c r="J332" s="80"/>
      <c r="K332" s="80"/>
      <c r="L332" s="80"/>
      <c r="M332" s="80"/>
      <c r="N332" s="80"/>
      <c r="O332" s="81"/>
      <c r="P332" s="81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3"/>
    </row>
    <row r="333" spans="1:29" s="2" customFormat="1" ht="31" x14ac:dyDescent="0.35">
      <c r="A333" s="79" t="s">
        <v>218</v>
      </c>
      <c r="B333" s="80" t="s">
        <v>219</v>
      </c>
      <c r="C333" s="80" t="s">
        <v>482</v>
      </c>
      <c r="D333" s="80"/>
      <c r="E333" s="80"/>
      <c r="F333" s="80"/>
      <c r="G333" s="80"/>
      <c r="H333" s="80" t="s">
        <v>488</v>
      </c>
      <c r="I333" s="80"/>
      <c r="J333" s="80"/>
      <c r="K333" s="80"/>
      <c r="L333" s="80"/>
      <c r="M333" s="80"/>
      <c r="N333" s="80"/>
      <c r="O333" s="81"/>
      <c r="P333" s="81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3"/>
    </row>
    <row r="334" spans="1:29" s="2" customFormat="1" ht="31" x14ac:dyDescent="0.35">
      <c r="A334" s="79" t="s">
        <v>218</v>
      </c>
      <c r="B334" s="80" t="s">
        <v>219</v>
      </c>
      <c r="C334" s="80" t="s">
        <v>482</v>
      </c>
      <c r="D334" s="80"/>
      <c r="E334" s="80"/>
      <c r="F334" s="80"/>
      <c r="G334" s="80"/>
      <c r="H334" s="80" t="s">
        <v>489</v>
      </c>
      <c r="I334" s="80"/>
      <c r="J334" s="80"/>
      <c r="K334" s="80"/>
      <c r="L334" s="80"/>
      <c r="M334" s="80"/>
      <c r="N334" s="80"/>
      <c r="O334" s="81"/>
      <c r="P334" s="81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3"/>
    </row>
    <row r="335" spans="1:29" s="2" customFormat="1" ht="31" x14ac:dyDescent="0.35">
      <c r="A335" s="79" t="s">
        <v>218</v>
      </c>
      <c r="B335" s="80" t="s">
        <v>219</v>
      </c>
      <c r="C335" s="80" t="s">
        <v>482</v>
      </c>
      <c r="D335" s="80"/>
      <c r="E335" s="80"/>
      <c r="F335" s="80"/>
      <c r="G335" s="80"/>
      <c r="H335" s="80" t="s">
        <v>490</v>
      </c>
      <c r="I335" s="80"/>
      <c r="J335" s="80"/>
      <c r="K335" s="80"/>
      <c r="L335" s="80"/>
      <c r="M335" s="80"/>
      <c r="N335" s="80"/>
      <c r="O335" s="81"/>
      <c r="P335" s="81"/>
      <c r="Q335" s="82"/>
      <c r="R335" s="82"/>
      <c r="S335" s="82"/>
      <c r="T335" s="82"/>
      <c r="U335" s="82"/>
      <c r="V335" s="82"/>
      <c r="W335" s="82"/>
      <c r="X335" s="82"/>
      <c r="Y335" s="82"/>
      <c r="Z335" s="82"/>
      <c r="AA335" s="82"/>
      <c r="AB335" s="82"/>
      <c r="AC335" s="3"/>
    </row>
    <row r="336" spans="1:29" s="2" customFormat="1" ht="31" x14ac:dyDescent="0.35">
      <c r="A336" s="79" t="s">
        <v>218</v>
      </c>
      <c r="B336" s="80" t="s">
        <v>219</v>
      </c>
      <c r="C336" s="80" t="s">
        <v>482</v>
      </c>
      <c r="D336" s="80"/>
      <c r="E336" s="80"/>
      <c r="F336" s="80"/>
      <c r="G336" s="80"/>
      <c r="H336" s="80" t="s">
        <v>491</v>
      </c>
      <c r="I336" s="80"/>
      <c r="J336" s="80"/>
      <c r="K336" s="80"/>
      <c r="L336" s="80"/>
      <c r="M336" s="80"/>
      <c r="N336" s="80"/>
      <c r="O336" s="81"/>
      <c r="P336" s="81"/>
      <c r="Q336" s="82"/>
      <c r="R336" s="82"/>
      <c r="S336" s="82"/>
      <c r="T336" s="82"/>
      <c r="U336" s="82"/>
      <c r="V336" s="82"/>
      <c r="W336" s="82"/>
      <c r="X336" s="82"/>
      <c r="Y336" s="82"/>
      <c r="Z336" s="82"/>
      <c r="AA336" s="82"/>
      <c r="AB336" s="82"/>
      <c r="AC336" s="3"/>
    </row>
    <row r="337" spans="1:29" s="2" customFormat="1" ht="31" x14ac:dyDescent="0.35">
      <c r="A337" s="79" t="s">
        <v>218</v>
      </c>
      <c r="B337" s="80" t="s">
        <v>219</v>
      </c>
      <c r="C337" s="80" t="s">
        <v>482</v>
      </c>
      <c r="D337" s="80"/>
      <c r="E337" s="80"/>
      <c r="F337" s="80"/>
      <c r="G337" s="80"/>
      <c r="H337" s="80" t="s">
        <v>492</v>
      </c>
      <c r="I337" s="80"/>
      <c r="J337" s="80"/>
      <c r="K337" s="80"/>
      <c r="L337" s="80"/>
      <c r="M337" s="80"/>
      <c r="N337" s="80"/>
      <c r="O337" s="81"/>
      <c r="P337" s="81"/>
      <c r="Q337" s="82"/>
      <c r="R337" s="82"/>
      <c r="S337" s="82"/>
      <c r="T337" s="82"/>
      <c r="U337" s="82"/>
      <c r="V337" s="82"/>
      <c r="W337" s="82"/>
      <c r="X337" s="82"/>
      <c r="Y337" s="82"/>
      <c r="Z337" s="82"/>
      <c r="AA337" s="82"/>
      <c r="AB337" s="82"/>
      <c r="AC337" s="3"/>
    </row>
    <row r="338" spans="1:29" s="2" customFormat="1" ht="31" x14ac:dyDescent="0.35">
      <c r="A338" s="79" t="s">
        <v>218</v>
      </c>
      <c r="B338" s="80" t="s">
        <v>219</v>
      </c>
      <c r="C338" s="80" t="s">
        <v>482</v>
      </c>
      <c r="D338" s="80"/>
      <c r="E338" s="80"/>
      <c r="F338" s="80"/>
      <c r="G338" s="80"/>
      <c r="H338" s="80" t="s">
        <v>493</v>
      </c>
      <c r="I338" s="80"/>
      <c r="J338" s="80"/>
      <c r="K338" s="80"/>
      <c r="L338" s="80"/>
      <c r="M338" s="80"/>
      <c r="N338" s="80"/>
      <c r="O338" s="81"/>
      <c r="P338" s="81"/>
      <c r="Q338" s="82"/>
      <c r="R338" s="82"/>
      <c r="S338" s="82"/>
      <c r="T338" s="82"/>
      <c r="U338" s="82"/>
      <c r="V338" s="82"/>
      <c r="W338" s="82"/>
      <c r="X338" s="82"/>
      <c r="Y338" s="82"/>
      <c r="Z338" s="82"/>
      <c r="AA338" s="82"/>
      <c r="AB338" s="82"/>
      <c r="AC338" s="3"/>
    </row>
    <row r="339" spans="1:29" s="2" customFormat="1" ht="31" x14ac:dyDescent="0.35">
      <c r="A339" s="79" t="s">
        <v>218</v>
      </c>
      <c r="B339" s="80" t="s">
        <v>219</v>
      </c>
      <c r="C339" s="80" t="s">
        <v>482</v>
      </c>
      <c r="D339" s="80"/>
      <c r="E339" s="80"/>
      <c r="F339" s="80"/>
      <c r="G339" s="80"/>
      <c r="H339" s="80" t="s">
        <v>494</v>
      </c>
      <c r="I339" s="80"/>
      <c r="J339" s="80"/>
      <c r="K339" s="80"/>
      <c r="L339" s="80"/>
      <c r="M339" s="80"/>
      <c r="N339" s="80"/>
      <c r="O339" s="81"/>
      <c r="P339" s="81"/>
      <c r="Q339" s="82"/>
      <c r="R339" s="82"/>
      <c r="S339" s="82"/>
      <c r="T339" s="82"/>
      <c r="U339" s="82"/>
      <c r="V339" s="82"/>
      <c r="W339" s="82"/>
      <c r="X339" s="82"/>
      <c r="Y339" s="82"/>
      <c r="Z339" s="82"/>
      <c r="AA339" s="82"/>
      <c r="AB339" s="82"/>
      <c r="AC339" s="3"/>
    </row>
    <row r="340" spans="1:29" s="2" customFormat="1" ht="31" x14ac:dyDescent="0.35">
      <c r="A340" s="79" t="s">
        <v>218</v>
      </c>
      <c r="B340" s="80" t="s">
        <v>219</v>
      </c>
      <c r="C340" s="80" t="s">
        <v>482</v>
      </c>
      <c r="D340" s="80"/>
      <c r="E340" s="80"/>
      <c r="F340" s="80"/>
      <c r="G340" s="80"/>
      <c r="H340" s="80" t="s">
        <v>495</v>
      </c>
      <c r="I340" s="80"/>
      <c r="J340" s="80"/>
      <c r="K340" s="80"/>
      <c r="L340" s="80"/>
      <c r="M340" s="80"/>
      <c r="N340" s="80"/>
      <c r="O340" s="81"/>
      <c r="P340" s="81"/>
      <c r="Q340" s="82"/>
      <c r="R340" s="82"/>
      <c r="S340" s="82"/>
      <c r="T340" s="82"/>
      <c r="U340" s="82"/>
      <c r="V340" s="82"/>
      <c r="W340" s="82"/>
      <c r="X340" s="82"/>
      <c r="Y340" s="82"/>
      <c r="Z340" s="82"/>
      <c r="AA340" s="82"/>
      <c r="AB340" s="82"/>
      <c r="AC340" s="3"/>
    </row>
    <row r="341" spans="1:29" s="2" customFormat="1" ht="31" x14ac:dyDescent="0.35">
      <c r="A341" s="79" t="s">
        <v>218</v>
      </c>
      <c r="B341" s="80" t="s">
        <v>219</v>
      </c>
      <c r="C341" s="80" t="s">
        <v>482</v>
      </c>
      <c r="D341" s="80"/>
      <c r="E341" s="80"/>
      <c r="F341" s="80"/>
      <c r="G341" s="80"/>
      <c r="H341" s="80" t="s">
        <v>496</v>
      </c>
      <c r="I341" s="80"/>
      <c r="J341" s="80"/>
      <c r="K341" s="80"/>
      <c r="L341" s="80"/>
      <c r="M341" s="80"/>
      <c r="N341" s="80"/>
      <c r="O341" s="81"/>
      <c r="P341" s="81"/>
      <c r="Q341" s="82"/>
      <c r="R341" s="82"/>
      <c r="S341" s="82"/>
      <c r="T341" s="82"/>
      <c r="U341" s="82"/>
      <c r="V341" s="82"/>
      <c r="W341" s="82"/>
      <c r="X341" s="82"/>
      <c r="Y341" s="82"/>
      <c r="Z341" s="82"/>
      <c r="AA341" s="82"/>
      <c r="AB341" s="82"/>
      <c r="AC341" s="3"/>
    </row>
    <row r="342" spans="1:29" s="2" customFormat="1" ht="31" x14ac:dyDescent="0.35">
      <c r="A342" s="79" t="s">
        <v>218</v>
      </c>
      <c r="B342" s="80" t="s">
        <v>219</v>
      </c>
      <c r="C342" s="80" t="s">
        <v>482</v>
      </c>
      <c r="D342" s="80"/>
      <c r="E342" s="80"/>
      <c r="F342" s="80"/>
      <c r="G342" s="80"/>
      <c r="H342" s="80" t="s">
        <v>497</v>
      </c>
      <c r="I342" s="80"/>
      <c r="J342" s="80"/>
      <c r="K342" s="80"/>
      <c r="L342" s="80"/>
      <c r="M342" s="80"/>
      <c r="N342" s="80"/>
      <c r="O342" s="81"/>
      <c r="P342" s="81"/>
      <c r="Q342" s="82"/>
      <c r="R342" s="82"/>
      <c r="S342" s="82"/>
      <c r="T342" s="82"/>
      <c r="U342" s="82"/>
      <c r="V342" s="82"/>
      <c r="W342" s="82"/>
      <c r="X342" s="82"/>
      <c r="Y342" s="82"/>
      <c r="Z342" s="82"/>
      <c r="AA342" s="82"/>
      <c r="AB342" s="82"/>
      <c r="AC342" s="3"/>
    </row>
    <row r="343" spans="1:29" s="2" customFormat="1" ht="31" x14ac:dyDescent="0.35">
      <c r="A343" s="79" t="s">
        <v>218</v>
      </c>
      <c r="B343" s="80" t="s">
        <v>219</v>
      </c>
      <c r="C343" s="80" t="s">
        <v>482</v>
      </c>
      <c r="D343" s="80"/>
      <c r="E343" s="80"/>
      <c r="F343" s="80"/>
      <c r="G343" s="80"/>
      <c r="H343" s="80" t="s">
        <v>498</v>
      </c>
      <c r="I343" s="80"/>
      <c r="J343" s="80"/>
      <c r="K343" s="80"/>
      <c r="L343" s="80"/>
      <c r="M343" s="80"/>
      <c r="N343" s="80"/>
      <c r="O343" s="81"/>
      <c r="P343" s="81"/>
      <c r="Q343" s="82"/>
      <c r="R343" s="82"/>
      <c r="S343" s="82"/>
      <c r="T343" s="82"/>
      <c r="U343" s="82"/>
      <c r="V343" s="82"/>
      <c r="W343" s="82"/>
      <c r="X343" s="82"/>
      <c r="Y343" s="82"/>
      <c r="Z343" s="82"/>
      <c r="AA343" s="82"/>
      <c r="AB343" s="82"/>
      <c r="AC343" s="3"/>
    </row>
    <row r="344" spans="1:29" s="2" customFormat="1" ht="31" x14ac:dyDescent="0.35">
      <c r="A344" s="79" t="s">
        <v>218</v>
      </c>
      <c r="B344" s="80" t="s">
        <v>219</v>
      </c>
      <c r="C344" s="80" t="s">
        <v>482</v>
      </c>
      <c r="D344" s="80"/>
      <c r="E344" s="80"/>
      <c r="F344" s="80"/>
      <c r="G344" s="80"/>
      <c r="H344" s="80" t="s">
        <v>499</v>
      </c>
      <c r="I344" s="80"/>
      <c r="J344" s="80"/>
      <c r="K344" s="80"/>
      <c r="L344" s="80"/>
      <c r="M344" s="80"/>
      <c r="N344" s="80"/>
      <c r="O344" s="81"/>
      <c r="P344" s="81"/>
      <c r="Q344" s="82"/>
      <c r="R344" s="82"/>
      <c r="S344" s="82"/>
      <c r="T344" s="82"/>
      <c r="U344" s="82"/>
      <c r="V344" s="82"/>
      <c r="W344" s="82"/>
      <c r="X344" s="82"/>
      <c r="Y344" s="82"/>
      <c r="Z344" s="82"/>
      <c r="AA344" s="82"/>
      <c r="AB344" s="82"/>
      <c r="AC344" s="3"/>
    </row>
    <row r="345" spans="1:29" s="2" customFormat="1" ht="31" x14ac:dyDescent="0.35">
      <c r="A345" s="79" t="s">
        <v>218</v>
      </c>
      <c r="B345" s="80" t="s">
        <v>219</v>
      </c>
      <c r="C345" s="80" t="s">
        <v>482</v>
      </c>
      <c r="D345" s="80"/>
      <c r="E345" s="80"/>
      <c r="F345" s="80"/>
      <c r="G345" s="80"/>
      <c r="H345" s="80" t="s">
        <v>500</v>
      </c>
      <c r="I345" s="80"/>
      <c r="J345" s="80"/>
      <c r="K345" s="80"/>
      <c r="L345" s="80"/>
      <c r="M345" s="80"/>
      <c r="N345" s="80"/>
      <c r="O345" s="81"/>
      <c r="P345" s="81"/>
      <c r="Q345" s="82"/>
      <c r="R345" s="82"/>
      <c r="S345" s="82"/>
      <c r="T345" s="82"/>
      <c r="U345" s="82"/>
      <c r="V345" s="82"/>
      <c r="W345" s="82"/>
      <c r="X345" s="82"/>
      <c r="Y345" s="82"/>
      <c r="Z345" s="82"/>
      <c r="AA345" s="82"/>
      <c r="AB345" s="82"/>
      <c r="AC345" s="3"/>
    </row>
    <row r="346" spans="1:29" s="2" customFormat="1" ht="31" x14ac:dyDescent="0.35">
      <c r="A346" s="79" t="s">
        <v>218</v>
      </c>
      <c r="B346" s="80" t="s">
        <v>219</v>
      </c>
      <c r="C346" s="80" t="s">
        <v>482</v>
      </c>
      <c r="D346" s="80"/>
      <c r="E346" s="80"/>
      <c r="F346" s="80"/>
      <c r="G346" s="80"/>
      <c r="H346" s="80" t="s">
        <v>501</v>
      </c>
      <c r="I346" s="80"/>
      <c r="J346" s="80"/>
      <c r="K346" s="80"/>
      <c r="L346" s="80"/>
      <c r="M346" s="80"/>
      <c r="N346" s="80"/>
      <c r="O346" s="81"/>
      <c r="P346" s="81"/>
      <c r="Q346" s="82"/>
      <c r="R346" s="82"/>
      <c r="S346" s="82"/>
      <c r="T346" s="82"/>
      <c r="U346" s="82"/>
      <c r="V346" s="82"/>
      <c r="W346" s="82"/>
      <c r="X346" s="82"/>
      <c r="Y346" s="82"/>
      <c r="Z346" s="82"/>
      <c r="AA346" s="82"/>
      <c r="AB346" s="82"/>
      <c r="AC346" s="3"/>
    </row>
    <row r="347" spans="1:29" s="2" customFormat="1" ht="31" x14ac:dyDescent="0.35">
      <c r="A347" s="79" t="s">
        <v>218</v>
      </c>
      <c r="B347" s="80" t="s">
        <v>219</v>
      </c>
      <c r="C347" s="80" t="s">
        <v>482</v>
      </c>
      <c r="D347" s="80"/>
      <c r="E347" s="80"/>
      <c r="F347" s="80"/>
      <c r="G347" s="80"/>
      <c r="H347" s="80" t="s">
        <v>502</v>
      </c>
      <c r="I347" s="80"/>
      <c r="J347" s="80"/>
      <c r="K347" s="80"/>
      <c r="L347" s="80"/>
      <c r="M347" s="80"/>
      <c r="N347" s="80"/>
      <c r="O347" s="81"/>
      <c r="P347" s="81"/>
      <c r="Q347" s="82"/>
      <c r="R347" s="82"/>
      <c r="S347" s="82"/>
      <c r="T347" s="82"/>
      <c r="U347" s="82"/>
      <c r="V347" s="82"/>
      <c r="W347" s="82"/>
      <c r="X347" s="82"/>
      <c r="Y347" s="82"/>
      <c r="Z347" s="82"/>
      <c r="AA347" s="82"/>
      <c r="AB347" s="82"/>
      <c r="AC347" s="3"/>
    </row>
    <row r="348" spans="1:29" s="2" customFormat="1" ht="31" x14ac:dyDescent="0.35">
      <c r="A348" s="79" t="s">
        <v>218</v>
      </c>
      <c r="B348" s="80" t="s">
        <v>219</v>
      </c>
      <c r="C348" s="80" t="s">
        <v>482</v>
      </c>
      <c r="D348" s="80"/>
      <c r="E348" s="80"/>
      <c r="F348" s="80"/>
      <c r="G348" s="80"/>
      <c r="H348" s="80" t="s">
        <v>503</v>
      </c>
      <c r="I348" s="80"/>
      <c r="J348" s="80"/>
      <c r="K348" s="80"/>
      <c r="L348" s="80"/>
      <c r="M348" s="80"/>
      <c r="N348" s="80"/>
      <c r="O348" s="81"/>
      <c r="P348" s="81"/>
      <c r="Q348" s="82"/>
      <c r="R348" s="82"/>
      <c r="S348" s="82"/>
      <c r="T348" s="82"/>
      <c r="U348" s="82"/>
      <c r="V348" s="82"/>
      <c r="W348" s="82"/>
      <c r="X348" s="82"/>
      <c r="Y348" s="82"/>
      <c r="Z348" s="82"/>
      <c r="AA348" s="82"/>
      <c r="AB348" s="82"/>
      <c r="AC348" s="3"/>
    </row>
    <row r="349" spans="1:29" s="2" customFormat="1" ht="31" x14ac:dyDescent="0.35">
      <c r="A349" s="79" t="s">
        <v>218</v>
      </c>
      <c r="B349" s="80" t="s">
        <v>219</v>
      </c>
      <c r="C349" s="80" t="s">
        <v>482</v>
      </c>
      <c r="D349" s="80"/>
      <c r="E349" s="80"/>
      <c r="F349" s="80"/>
      <c r="G349" s="80"/>
      <c r="H349" s="80" t="s">
        <v>504</v>
      </c>
      <c r="I349" s="80"/>
      <c r="J349" s="80"/>
      <c r="K349" s="80"/>
      <c r="L349" s="80"/>
      <c r="M349" s="80"/>
      <c r="N349" s="80"/>
      <c r="O349" s="81"/>
      <c r="P349" s="81"/>
      <c r="Q349" s="82"/>
      <c r="R349" s="82"/>
      <c r="S349" s="82"/>
      <c r="T349" s="82"/>
      <c r="U349" s="82"/>
      <c r="V349" s="82"/>
      <c r="W349" s="82"/>
      <c r="X349" s="82"/>
      <c r="Y349" s="82"/>
      <c r="Z349" s="82"/>
      <c r="AA349" s="82"/>
      <c r="AB349" s="82"/>
      <c r="AC349" s="3"/>
    </row>
    <row r="350" spans="1:29" s="2" customFormat="1" ht="31" x14ac:dyDescent="0.35">
      <c r="A350" s="79" t="s">
        <v>218</v>
      </c>
      <c r="B350" s="80" t="s">
        <v>219</v>
      </c>
      <c r="C350" s="80" t="s">
        <v>482</v>
      </c>
      <c r="D350" s="80"/>
      <c r="E350" s="80"/>
      <c r="F350" s="80"/>
      <c r="G350" s="80"/>
      <c r="H350" s="80" t="s">
        <v>505</v>
      </c>
      <c r="I350" s="80"/>
      <c r="J350" s="80"/>
      <c r="K350" s="80"/>
      <c r="L350" s="80"/>
      <c r="M350" s="80"/>
      <c r="N350" s="80"/>
      <c r="O350" s="81"/>
      <c r="P350" s="81"/>
      <c r="Q350" s="82"/>
      <c r="R350" s="82"/>
      <c r="S350" s="82"/>
      <c r="T350" s="82"/>
      <c r="U350" s="82"/>
      <c r="V350" s="82"/>
      <c r="W350" s="82"/>
      <c r="X350" s="82"/>
      <c r="Y350" s="82"/>
      <c r="Z350" s="82"/>
      <c r="AA350" s="82"/>
      <c r="AB350" s="82"/>
      <c r="AC350" s="3"/>
    </row>
    <row r="351" spans="1:29" s="2" customFormat="1" ht="31" x14ac:dyDescent="0.35">
      <c r="A351" s="79" t="s">
        <v>218</v>
      </c>
      <c r="B351" s="80" t="s">
        <v>219</v>
      </c>
      <c r="C351" s="80" t="s">
        <v>482</v>
      </c>
      <c r="D351" s="80"/>
      <c r="E351" s="80"/>
      <c r="F351" s="80"/>
      <c r="G351" s="80"/>
      <c r="H351" s="80" t="s">
        <v>506</v>
      </c>
      <c r="I351" s="80"/>
      <c r="J351" s="80"/>
      <c r="K351" s="80"/>
      <c r="L351" s="80"/>
      <c r="M351" s="80"/>
      <c r="N351" s="80"/>
      <c r="O351" s="81"/>
      <c r="P351" s="81"/>
      <c r="Q351" s="82"/>
      <c r="R351" s="82"/>
      <c r="S351" s="82"/>
      <c r="T351" s="82"/>
      <c r="U351" s="82"/>
      <c r="V351" s="82"/>
      <c r="W351" s="82"/>
      <c r="X351" s="82"/>
      <c r="Y351" s="82"/>
      <c r="Z351" s="82"/>
      <c r="AA351" s="82"/>
      <c r="AB351" s="82"/>
      <c r="AC351" s="3"/>
    </row>
    <row r="352" spans="1:29" s="2" customFormat="1" ht="31" x14ac:dyDescent="0.35">
      <c r="A352" s="79" t="s">
        <v>218</v>
      </c>
      <c r="B352" s="80" t="s">
        <v>219</v>
      </c>
      <c r="C352" s="80" t="s">
        <v>482</v>
      </c>
      <c r="D352" s="80"/>
      <c r="E352" s="80"/>
      <c r="F352" s="80"/>
      <c r="G352" s="80"/>
      <c r="H352" s="80" t="s">
        <v>507</v>
      </c>
      <c r="I352" s="80"/>
      <c r="J352" s="80"/>
      <c r="K352" s="80"/>
      <c r="L352" s="80"/>
      <c r="M352" s="80"/>
      <c r="N352" s="80"/>
      <c r="O352" s="81"/>
      <c r="P352" s="81"/>
      <c r="Q352" s="82"/>
      <c r="R352" s="82"/>
      <c r="S352" s="82"/>
      <c r="T352" s="82"/>
      <c r="U352" s="82"/>
      <c r="V352" s="82"/>
      <c r="W352" s="82"/>
      <c r="X352" s="82"/>
      <c r="Y352" s="82"/>
      <c r="Z352" s="82"/>
      <c r="AA352" s="82"/>
      <c r="AB352" s="82"/>
      <c r="AC352" s="3"/>
    </row>
    <row r="353" spans="1:29" s="2" customFormat="1" ht="31" x14ac:dyDescent="0.35">
      <c r="A353" s="79" t="s">
        <v>218</v>
      </c>
      <c r="B353" s="80" t="s">
        <v>219</v>
      </c>
      <c r="C353" s="80" t="s">
        <v>482</v>
      </c>
      <c r="D353" s="80"/>
      <c r="E353" s="80"/>
      <c r="F353" s="80"/>
      <c r="G353" s="80"/>
      <c r="H353" s="80" t="s">
        <v>508</v>
      </c>
      <c r="I353" s="80"/>
      <c r="J353" s="80"/>
      <c r="K353" s="80"/>
      <c r="L353" s="80"/>
      <c r="M353" s="80"/>
      <c r="N353" s="80"/>
      <c r="O353" s="81"/>
      <c r="P353" s="81"/>
      <c r="Q353" s="82"/>
      <c r="R353" s="82"/>
      <c r="S353" s="82"/>
      <c r="T353" s="82"/>
      <c r="U353" s="82"/>
      <c r="V353" s="82"/>
      <c r="W353" s="82"/>
      <c r="X353" s="82"/>
      <c r="Y353" s="82"/>
      <c r="Z353" s="82"/>
      <c r="AA353" s="82"/>
      <c r="AB353" s="82"/>
      <c r="AC353" s="3"/>
    </row>
    <row r="354" spans="1:29" s="2" customFormat="1" ht="31" x14ac:dyDescent="0.35">
      <c r="A354" s="79" t="s">
        <v>218</v>
      </c>
      <c r="B354" s="80" t="s">
        <v>219</v>
      </c>
      <c r="C354" s="80" t="s">
        <v>482</v>
      </c>
      <c r="D354" s="80"/>
      <c r="E354" s="80"/>
      <c r="F354" s="80"/>
      <c r="G354" s="80"/>
      <c r="H354" s="80" t="s">
        <v>509</v>
      </c>
      <c r="I354" s="80"/>
      <c r="J354" s="80"/>
      <c r="K354" s="80"/>
      <c r="L354" s="80"/>
      <c r="M354" s="80"/>
      <c r="N354" s="80"/>
      <c r="O354" s="81"/>
      <c r="P354" s="81"/>
      <c r="Q354" s="82"/>
      <c r="R354" s="82"/>
      <c r="S354" s="82"/>
      <c r="T354" s="82"/>
      <c r="U354" s="82"/>
      <c r="V354" s="82"/>
      <c r="W354" s="82"/>
      <c r="X354" s="82"/>
      <c r="Y354" s="82"/>
      <c r="Z354" s="82"/>
      <c r="AA354" s="82"/>
      <c r="AB354" s="82"/>
      <c r="AC354" s="3"/>
    </row>
    <row r="355" spans="1:29" s="2" customFormat="1" ht="31" x14ac:dyDescent="0.35">
      <c r="A355" s="79" t="s">
        <v>218</v>
      </c>
      <c r="B355" s="80" t="s">
        <v>219</v>
      </c>
      <c r="C355" s="80" t="s">
        <v>482</v>
      </c>
      <c r="D355" s="80"/>
      <c r="E355" s="80"/>
      <c r="F355" s="80"/>
      <c r="G355" s="80"/>
      <c r="H355" s="80" t="s">
        <v>510</v>
      </c>
      <c r="I355" s="80"/>
      <c r="J355" s="80"/>
      <c r="K355" s="80"/>
      <c r="L355" s="80"/>
      <c r="M355" s="80"/>
      <c r="N355" s="80"/>
      <c r="O355" s="81"/>
      <c r="P355" s="81"/>
      <c r="Q355" s="82"/>
      <c r="R355" s="82"/>
      <c r="S355" s="82"/>
      <c r="T355" s="82"/>
      <c r="U355" s="82"/>
      <c r="V355" s="82"/>
      <c r="W355" s="82"/>
      <c r="X355" s="82"/>
      <c r="Y355" s="82"/>
      <c r="Z355" s="82"/>
      <c r="AA355" s="82"/>
      <c r="AB355" s="82"/>
      <c r="AC355" s="3"/>
    </row>
    <row r="356" spans="1:29" s="2" customFormat="1" ht="31" x14ac:dyDescent="0.35">
      <c r="A356" s="79" t="s">
        <v>218</v>
      </c>
      <c r="B356" s="80" t="s">
        <v>219</v>
      </c>
      <c r="C356" s="80" t="s">
        <v>482</v>
      </c>
      <c r="D356" s="80"/>
      <c r="E356" s="80"/>
      <c r="F356" s="80"/>
      <c r="G356" s="80"/>
      <c r="H356" s="80" t="s">
        <v>511</v>
      </c>
      <c r="I356" s="80"/>
      <c r="J356" s="80"/>
      <c r="K356" s="80"/>
      <c r="L356" s="80"/>
      <c r="M356" s="80"/>
      <c r="N356" s="80"/>
      <c r="O356" s="81"/>
      <c r="P356" s="81"/>
      <c r="Q356" s="82"/>
      <c r="R356" s="82"/>
      <c r="S356" s="82"/>
      <c r="T356" s="82"/>
      <c r="U356" s="82"/>
      <c r="V356" s="82"/>
      <c r="W356" s="82"/>
      <c r="X356" s="82"/>
      <c r="Y356" s="82"/>
      <c r="Z356" s="82"/>
      <c r="AA356" s="82"/>
      <c r="AB356" s="82"/>
      <c r="AC356" s="3"/>
    </row>
    <row r="357" spans="1:29" s="2" customFormat="1" ht="31" x14ac:dyDescent="0.35">
      <c r="A357" s="79" t="s">
        <v>218</v>
      </c>
      <c r="B357" s="80" t="s">
        <v>219</v>
      </c>
      <c r="C357" s="80" t="s">
        <v>482</v>
      </c>
      <c r="D357" s="80"/>
      <c r="E357" s="80"/>
      <c r="F357" s="80"/>
      <c r="G357" s="80"/>
      <c r="H357" s="80" t="s">
        <v>512</v>
      </c>
      <c r="I357" s="80"/>
      <c r="J357" s="80"/>
      <c r="K357" s="80"/>
      <c r="L357" s="80"/>
      <c r="M357" s="80"/>
      <c r="N357" s="80"/>
      <c r="O357" s="81"/>
      <c r="P357" s="81"/>
      <c r="Q357" s="82"/>
      <c r="R357" s="82"/>
      <c r="S357" s="82"/>
      <c r="T357" s="82"/>
      <c r="U357" s="82"/>
      <c r="V357" s="82"/>
      <c r="W357" s="82"/>
      <c r="X357" s="82"/>
      <c r="Y357" s="82"/>
      <c r="Z357" s="82"/>
      <c r="AA357" s="82"/>
      <c r="AB357" s="82"/>
      <c r="AC357" s="3"/>
    </row>
    <row r="358" spans="1:29" s="2" customFormat="1" ht="31" x14ac:dyDescent="0.35">
      <c r="A358" s="79" t="s">
        <v>218</v>
      </c>
      <c r="B358" s="80" t="s">
        <v>219</v>
      </c>
      <c r="C358" s="80" t="s">
        <v>482</v>
      </c>
      <c r="D358" s="80"/>
      <c r="E358" s="80"/>
      <c r="F358" s="80"/>
      <c r="G358" s="80"/>
      <c r="H358" s="80" t="s">
        <v>513</v>
      </c>
      <c r="I358" s="80"/>
      <c r="J358" s="80"/>
      <c r="K358" s="80"/>
      <c r="L358" s="80"/>
      <c r="M358" s="80"/>
      <c r="N358" s="80"/>
      <c r="O358" s="81"/>
      <c r="P358" s="81"/>
      <c r="Q358" s="82"/>
      <c r="R358" s="82"/>
      <c r="S358" s="82"/>
      <c r="T358" s="82"/>
      <c r="U358" s="82"/>
      <c r="V358" s="82"/>
      <c r="W358" s="82"/>
      <c r="X358" s="82"/>
      <c r="Y358" s="82"/>
      <c r="Z358" s="82"/>
      <c r="AA358" s="82"/>
      <c r="AB358" s="82"/>
      <c r="AC358" s="3"/>
    </row>
    <row r="359" spans="1:29" s="2" customFormat="1" ht="31" x14ac:dyDescent="0.35">
      <c r="A359" s="79" t="s">
        <v>218</v>
      </c>
      <c r="B359" s="80" t="s">
        <v>219</v>
      </c>
      <c r="C359" s="80" t="s">
        <v>482</v>
      </c>
      <c r="D359" s="80"/>
      <c r="E359" s="80"/>
      <c r="F359" s="80"/>
      <c r="G359" s="80"/>
      <c r="H359" s="80" t="s">
        <v>514</v>
      </c>
      <c r="I359" s="80"/>
      <c r="J359" s="80"/>
      <c r="K359" s="80"/>
      <c r="L359" s="80"/>
      <c r="M359" s="80"/>
      <c r="N359" s="80"/>
      <c r="O359" s="81"/>
      <c r="P359" s="81"/>
      <c r="Q359" s="82"/>
      <c r="R359" s="82"/>
      <c r="S359" s="82"/>
      <c r="T359" s="82"/>
      <c r="U359" s="82"/>
      <c r="V359" s="82"/>
      <c r="W359" s="82"/>
      <c r="X359" s="82"/>
      <c r="Y359" s="82"/>
      <c r="Z359" s="82"/>
      <c r="AA359" s="82"/>
      <c r="AB359" s="82"/>
      <c r="AC359" s="3"/>
    </row>
    <row r="360" spans="1:29" ht="46.5" x14ac:dyDescent="0.35">
      <c r="A360" s="71" t="s">
        <v>218</v>
      </c>
      <c r="B360" s="83" t="s">
        <v>219</v>
      </c>
      <c r="C360" s="84" t="s">
        <v>515</v>
      </c>
      <c r="D360" s="84"/>
      <c r="E360" s="85" t="s">
        <v>40</v>
      </c>
      <c r="F360" s="84"/>
      <c r="G360" s="85" t="s">
        <v>40</v>
      </c>
      <c r="H360" s="83" t="s">
        <v>516</v>
      </c>
      <c r="I360" s="84" t="s">
        <v>222</v>
      </c>
      <c r="J360" s="83" t="s">
        <v>43</v>
      </c>
      <c r="K360" s="83" t="s">
        <v>43</v>
      </c>
      <c r="L360" s="83"/>
      <c r="M360" s="83" t="s">
        <v>44</v>
      </c>
      <c r="N360" s="86" t="s">
        <v>301</v>
      </c>
      <c r="O360" s="86">
        <v>1560</v>
      </c>
      <c r="P360" s="86"/>
      <c r="Q360" s="87"/>
      <c r="R360" s="93" t="s">
        <v>45</v>
      </c>
      <c r="S360" s="87"/>
      <c r="T360" s="87"/>
      <c r="U360" s="87"/>
      <c r="V360" s="87"/>
      <c r="W360" s="87"/>
      <c r="X360" s="78" t="s">
        <v>40</v>
      </c>
      <c r="Y360" s="87"/>
      <c r="Z360" s="87"/>
      <c r="AA360" s="87"/>
      <c r="AB360" s="87"/>
      <c r="AC360" s="8"/>
    </row>
    <row r="361" spans="1:29" s="2" customFormat="1" ht="31" x14ac:dyDescent="0.35">
      <c r="A361" s="79" t="s">
        <v>218</v>
      </c>
      <c r="B361" s="80" t="s">
        <v>219</v>
      </c>
      <c r="C361" s="80" t="s">
        <v>515</v>
      </c>
      <c r="D361" s="80"/>
      <c r="E361" s="80"/>
      <c r="F361" s="80"/>
      <c r="G361" s="80"/>
      <c r="H361" s="80" t="s">
        <v>517</v>
      </c>
      <c r="I361" s="80"/>
      <c r="J361" s="80"/>
      <c r="K361" s="80"/>
      <c r="L361" s="80"/>
      <c r="M361" s="80"/>
      <c r="N361" s="80"/>
      <c r="O361" s="81"/>
      <c r="P361" s="81"/>
      <c r="Q361" s="82"/>
      <c r="R361" s="82"/>
      <c r="S361" s="82"/>
      <c r="T361" s="82"/>
      <c r="U361" s="82"/>
      <c r="V361" s="82"/>
      <c r="W361" s="82"/>
      <c r="X361" s="82"/>
      <c r="Y361" s="82"/>
      <c r="Z361" s="82"/>
      <c r="AA361" s="82"/>
      <c r="AB361" s="82"/>
      <c r="AC361" s="3"/>
    </row>
    <row r="362" spans="1:29" s="2" customFormat="1" ht="31" x14ac:dyDescent="0.35">
      <c r="A362" s="79" t="s">
        <v>218</v>
      </c>
      <c r="B362" s="80" t="s">
        <v>219</v>
      </c>
      <c r="C362" s="80" t="s">
        <v>515</v>
      </c>
      <c r="D362" s="80"/>
      <c r="E362" s="80"/>
      <c r="F362" s="80"/>
      <c r="G362" s="80"/>
      <c r="H362" s="80" t="s">
        <v>518</v>
      </c>
      <c r="I362" s="80"/>
      <c r="J362" s="80"/>
      <c r="K362" s="80"/>
      <c r="L362" s="80"/>
      <c r="M362" s="80"/>
      <c r="N362" s="80"/>
      <c r="O362" s="81"/>
      <c r="P362" s="81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3"/>
    </row>
    <row r="363" spans="1:29" s="2" customFormat="1" ht="31" x14ac:dyDescent="0.35">
      <c r="A363" s="79" t="s">
        <v>218</v>
      </c>
      <c r="B363" s="80" t="s">
        <v>219</v>
      </c>
      <c r="C363" s="80" t="s">
        <v>515</v>
      </c>
      <c r="D363" s="80"/>
      <c r="E363" s="80"/>
      <c r="F363" s="80"/>
      <c r="G363" s="80"/>
      <c r="H363" s="80" t="s">
        <v>519</v>
      </c>
      <c r="I363" s="80"/>
      <c r="J363" s="80"/>
      <c r="K363" s="80"/>
      <c r="L363" s="80"/>
      <c r="M363" s="80"/>
      <c r="N363" s="80"/>
      <c r="O363" s="81"/>
      <c r="P363" s="81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3"/>
    </row>
    <row r="364" spans="1:29" s="2" customFormat="1" ht="31" x14ac:dyDescent="0.35">
      <c r="A364" s="79" t="s">
        <v>218</v>
      </c>
      <c r="B364" s="80" t="s">
        <v>219</v>
      </c>
      <c r="C364" s="80" t="s">
        <v>515</v>
      </c>
      <c r="D364" s="80"/>
      <c r="E364" s="80"/>
      <c r="F364" s="80"/>
      <c r="G364" s="80"/>
      <c r="H364" s="80" t="s">
        <v>520</v>
      </c>
      <c r="I364" s="80"/>
      <c r="J364" s="80"/>
      <c r="K364" s="80"/>
      <c r="L364" s="80"/>
      <c r="M364" s="80"/>
      <c r="N364" s="80"/>
      <c r="O364" s="81"/>
      <c r="P364" s="81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3"/>
    </row>
    <row r="365" spans="1:29" s="2" customFormat="1" ht="31" x14ac:dyDescent="0.35">
      <c r="A365" s="79" t="s">
        <v>218</v>
      </c>
      <c r="B365" s="80" t="s">
        <v>219</v>
      </c>
      <c r="C365" s="80" t="s">
        <v>515</v>
      </c>
      <c r="D365" s="80"/>
      <c r="E365" s="80"/>
      <c r="F365" s="80"/>
      <c r="G365" s="80"/>
      <c r="H365" s="80" t="s">
        <v>521</v>
      </c>
      <c r="I365" s="80"/>
      <c r="J365" s="80"/>
      <c r="K365" s="80"/>
      <c r="L365" s="80"/>
      <c r="M365" s="80"/>
      <c r="N365" s="80"/>
      <c r="O365" s="81"/>
      <c r="P365" s="81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3"/>
    </row>
    <row r="366" spans="1:29" s="2" customFormat="1" ht="31" x14ac:dyDescent="0.35">
      <c r="A366" s="79" t="s">
        <v>218</v>
      </c>
      <c r="B366" s="80" t="s">
        <v>219</v>
      </c>
      <c r="C366" s="80" t="s">
        <v>515</v>
      </c>
      <c r="D366" s="80"/>
      <c r="E366" s="80"/>
      <c r="F366" s="80"/>
      <c r="G366" s="80"/>
      <c r="H366" s="80" t="s">
        <v>522</v>
      </c>
      <c r="I366" s="80"/>
      <c r="J366" s="80"/>
      <c r="K366" s="80"/>
      <c r="L366" s="80"/>
      <c r="M366" s="80"/>
      <c r="N366" s="80"/>
      <c r="O366" s="81"/>
      <c r="P366" s="81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3"/>
    </row>
    <row r="367" spans="1:29" s="2" customFormat="1" ht="31" x14ac:dyDescent="0.35">
      <c r="A367" s="79" t="s">
        <v>218</v>
      </c>
      <c r="B367" s="80" t="s">
        <v>219</v>
      </c>
      <c r="C367" s="80" t="s">
        <v>515</v>
      </c>
      <c r="D367" s="80"/>
      <c r="E367" s="80"/>
      <c r="F367" s="80"/>
      <c r="G367" s="80"/>
      <c r="H367" s="80" t="s">
        <v>523</v>
      </c>
      <c r="I367" s="80"/>
      <c r="J367" s="80"/>
      <c r="K367" s="80"/>
      <c r="L367" s="80"/>
      <c r="M367" s="80"/>
      <c r="N367" s="80"/>
      <c r="O367" s="81"/>
      <c r="P367" s="81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3"/>
    </row>
    <row r="368" spans="1:29" s="2" customFormat="1" ht="31" x14ac:dyDescent="0.35">
      <c r="A368" s="79" t="s">
        <v>218</v>
      </c>
      <c r="B368" s="80" t="s">
        <v>219</v>
      </c>
      <c r="C368" s="80" t="s">
        <v>515</v>
      </c>
      <c r="D368" s="80"/>
      <c r="E368" s="80"/>
      <c r="F368" s="80"/>
      <c r="G368" s="80"/>
      <c r="H368" s="80" t="s">
        <v>524</v>
      </c>
      <c r="I368" s="80"/>
      <c r="J368" s="80"/>
      <c r="K368" s="80"/>
      <c r="L368" s="80"/>
      <c r="M368" s="80"/>
      <c r="N368" s="80"/>
      <c r="O368" s="81"/>
      <c r="P368" s="81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3"/>
    </row>
    <row r="369" spans="1:29" s="2" customFormat="1" ht="31" x14ac:dyDescent="0.35">
      <c r="A369" s="79" t="s">
        <v>218</v>
      </c>
      <c r="B369" s="80" t="s">
        <v>219</v>
      </c>
      <c r="C369" s="80" t="s">
        <v>515</v>
      </c>
      <c r="D369" s="80"/>
      <c r="E369" s="80"/>
      <c r="F369" s="80"/>
      <c r="G369" s="80"/>
      <c r="H369" s="80" t="s">
        <v>525</v>
      </c>
      <c r="I369" s="80"/>
      <c r="J369" s="80"/>
      <c r="K369" s="80"/>
      <c r="L369" s="80"/>
      <c r="M369" s="80"/>
      <c r="N369" s="80"/>
      <c r="O369" s="81"/>
      <c r="P369" s="81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3"/>
    </row>
    <row r="370" spans="1:29" s="2" customFormat="1" ht="31" x14ac:dyDescent="0.35">
      <c r="A370" s="79" t="s">
        <v>218</v>
      </c>
      <c r="B370" s="80" t="s">
        <v>219</v>
      </c>
      <c r="C370" s="80" t="s">
        <v>515</v>
      </c>
      <c r="D370" s="80"/>
      <c r="E370" s="80"/>
      <c r="F370" s="80"/>
      <c r="G370" s="80"/>
      <c r="H370" s="80" t="s">
        <v>526</v>
      </c>
      <c r="I370" s="80"/>
      <c r="J370" s="80"/>
      <c r="K370" s="80"/>
      <c r="L370" s="80"/>
      <c r="M370" s="80"/>
      <c r="N370" s="80"/>
      <c r="O370" s="81"/>
      <c r="P370" s="81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3"/>
    </row>
    <row r="371" spans="1:29" s="2" customFormat="1" ht="31" x14ac:dyDescent="0.35">
      <c r="A371" s="79" t="s">
        <v>218</v>
      </c>
      <c r="B371" s="80" t="s">
        <v>219</v>
      </c>
      <c r="C371" s="80" t="s">
        <v>515</v>
      </c>
      <c r="D371" s="80"/>
      <c r="E371" s="80"/>
      <c r="F371" s="80"/>
      <c r="G371" s="80"/>
      <c r="H371" s="80" t="s">
        <v>527</v>
      </c>
      <c r="I371" s="80"/>
      <c r="J371" s="80"/>
      <c r="K371" s="80"/>
      <c r="L371" s="80"/>
      <c r="M371" s="80"/>
      <c r="N371" s="80"/>
      <c r="O371" s="81"/>
      <c r="P371" s="81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3"/>
    </row>
    <row r="372" spans="1:29" s="2" customFormat="1" ht="31" x14ac:dyDescent="0.35">
      <c r="A372" s="79" t="s">
        <v>218</v>
      </c>
      <c r="B372" s="80" t="s">
        <v>219</v>
      </c>
      <c r="C372" s="80" t="s">
        <v>515</v>
      </c>
      <c r="D372" s="80"/>
      <c r="E372" s="80"/>
      <c r="F372" s="80"/>
      <c r="G372" s="80"/>
      <c r="H372" s="80" t="s">
        <v>528</v>
      </c>
      <c r="I372" s="80"/>
      <c r="J372" s="80"/>
      <c r="K372" s="80"/>
      <c r="L372" s="80"/>
      <c r="M372" s="80"/>
      <c r="N372" s="80"/>
      <c r="O372" s="81"/>
      <c r="P372" s="81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3"/>
    </row>
    <row r="373" spans="1:29" s="2" customFormat="1" ht="31" x14ac:dyDescent="0.35">
      <c r="A373" s="79" t="s">
        <v>218</v>
      </c>
      <c r="B373" s="80" t="s">
        <v>219</v>
      </c>
      <c r="C373" s="80" t="s">
        <v>515</v>
      </c>
      <c r="D373" s="80"/>
      <c r="E373" s="80"/>
      <c r="F373" s="80"/>
      <c r="G373" s="80"/>
      <c r="H373" s="80" t="s">
        <v>529</v>
      </c>
      <c r="I373" s="80"/>
      <c r="J373" s="80"/>
      <c r="K373" s="80"/>
      <c r="L373" s="80"/>
      <c r="M373" s="80"/>
      <c r="N373" s="80"/>
      <c r="O373" s="81"/>
      <c r="P373" s="81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3"/>
    </row>
    <row r="374" spans="1:29" s="2" customFormat="1" ht="31" x14ac:dyDescent="0.35">
      <c r="A374" s="79" t="s">
        <v>218</v>
      </c>
      <c r="B374" s="80" t="s">
        <v>219</v>
      </c>
      <c r="C374" s="80" t="s">
        <v>515</v>
      </c>
      <c r="D374" s="80"/>
      <c r="E374" s="80"/>
      <c r="F374" s="80"/>
      <c r="G374" s="80"/>
      <c r="H374" s="80" t="s">
        <v>530</v>
      </c>
      <c r="I374" s="80"/>
      <c r="J374" s="80"/>
      <c r="K374" s="80"/>
      <c r="L374" s="80"/>
      <c r="M374" s="80"/>
      <c r="N374" s="80"/>
      <c r="O374" s="81"/>
      <c r="P374" s="81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3"/>
    </row>
    <row r="375" spans="1:29" s="2" customFormat="1" ht="31" x14ac:dyDescent="0.35">
      <c r="A375" s="79" t="s">
        <v>218</v>
      </c>
      <c r="B375" s="80" t="s">
        <v>219</v>
      </c>
      <c r="C375" s="80" t="s">
        <v>515</v>
      </c>
      <c r="D375" s="80"/>
      <c r="E375" s="80"/>
      <c r="F375" s="80"/>
      <c r="G375" s="80"/>
      <c r="H375" s="80" t="s">
        <v>531</v>
      </c>
      <c r="I375" s="80"/>
      <c r="J375" s="80"/>
      <c r="K375" s="80"/>
      <c r="L375" s="80"/>
      <c r="M375" s="80"/>
      <c r="N375" s="80"/>
      <c r="O375" s="81"/>
      <c r="P375" s="81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3"/>
    </row>
    <row r="376" spans="1:29" s="2" customFormat="1" ht="31" x14ac:dyDescent="0.35">
      <c r="A376" s="79" t="s">
        <v>218</v>
      </c>
      <c r="B376" s="80" t="s">
        <v>219</v>
      </c>
      <c r="C376" s="80" t="s">
        <v>515</v>
      </c>
      <c r="D376" s="80"/>
      <c r="E376" s="80"/>
      <c r="F376" s="80"/>
      <c r="G376" s="80"/>
      <c r="H376" s="80" t="s">
        <v>532</v>
      </c>
      <c r="I376" s="80"/>
      <c r="J376" s="80"/>
      <c r="K376" s="80"/>
      <c r="L376" s="80"/>
      <c r="M376" s="80"/>
      <c r="N376" s="80"/>
      <c r="O376" s="81"/>
      <c r="P376" s="81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3"/>
    </row>
    <row r="377" spans="1:29" s="2" customFormat="1" ht="31" x14ac:dyDescent="0.35">
      <c r="A377" s="79" t="s">
        <v>218</v>
      </c>
      <c r="B377" s="80" t="s">
        <v>219</v>
      </c>
      <c r="C377" s="80" t="s">
        <v>515</v>
      </c>
      <c r="D377" s="80"/>
      <c r="E377" s="80"/>
      <c r="F377" s="80"/>
      <c r="G377" s="80"/>
      <c r="H377" s="80" t="s">
        <v>533</v>
      </c>
      <c r="I377" s="80"/>
      <c r="J377" s="80"/>
      <c r="K377" s="80"/>
      <c r="L377" s="80"/>
      <c r="M377" s="80"/>
      <c r="N377" s="80"/>
      <c r="O377" s="81"/>
      <c r="P377" s="81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3"/>
    </row>
    <row r="378" spans="1:29" s="2" customFormat="1" ht="31" x14ac:dyDescent="0.35">
      <c r="A378" s="79" t="s">
        <v>218</v>
      </c>
      <c r="B378" s="80" t="s">
        <v>219</v>
      </c>
      <c r="C378" s="80" t="s">
        <v>515</v>
      </c>
      <c r="D378" s="80"/>
      <c r="E378" s="80"/>
      <c r="F378" s="80"/>
      <c r="G378" s="80"/>
      <c r="H378" s="80" t="s">
        <v>534</v>
      </c>
      <c r="I378" s="80"/>
      <c r="J378" s="80"/>
      <c r="K378" s="80"/>
      <c r="L378" s="80"/>
      <c r="M378" s="80"/>
      <c r="N378" s="80"/>
      <c r="O378" s="81"/>
      <c r="P378" s="81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3"/>
    </row>
    <row r="379" spans="1:29" s="2" customFormat="1" ht="31" x14ac:dyDescent="0.35">
      <c r="A379" s="79" t="s">
        <v>218</v>
      </c>
      <c r="B379" s="80" t="s">
        <v>219</v>
      </c>
      <c r="C379" s="80" t="s">
        <v>515</v>
      </c>
      <c r="D379" s="80"/>
      <c r="E379" s="80"/>
      <c r="F379" s="80"/>
      <c r="G379" s="80"/>
      <c r="H379" s="80" t="s">
        <v>535</v>
      </c>
      <c r="I379" s="80"/>
      <c r="J379" s="80"/>
      <c r="K379" s="80"/>
      <c r="L379" s="80"/>
      <c r="M379" s="80"/>
      <c r="N379" s="80"/>
      <c r="O379" s="81"/>
      <c r="P379" s="81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3"/>
    </row>
    <row r="380" spans="1:29" s="2" customFormat="1" ht="31" x14ac:dyDescent="0.35">
      <c r="A380" s="79" t="s">
        <v>218</v>
      </c>
      <c r="B380" s="80" t="s">
        <v>219</v>
      </c>
      <c r="C380" s="80" t="s">
        <v>515</v>
      </c>
      <c r="D380" s="80"/>
      <c r="E380" s="80"/>
      <c r="F380" s="80"/>
      <c r="G380" s="80"/>
      <c r="H380" s="80" t="s">
        <v>536</v>
      </c>
      <c r="I380" s="80"/>
      <c r="J380" s="80"/>
      <c r="K380" s="80"/>
      <c r="L380" s="80"/>
      <c r="M380" s="80"/>
      <c r="N380" s="80"/>
      <c r="O380" s="81"/>
      <c r="P380" s="81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3"/>
    </row>
    <row r="381" spans="1:29" s="2" customFormat="1" ht="31" x14ac:dyDescent="0.35">
      <c r="A381" s="79" t="s">
        <v>218</v>
      </c>
      <c r="B381" s="80" t="s">
        <v>219</v>
      </c>
      <c r="C381" s="80" t="s">
        <v>515</v>
      </c>
      <c r="D381" s="80"/>
      <c r="E381" s="80"/>
      <c r="F381" s="80"/>
      <c r="G381" s="80"/>
      <c r="H381" s="80" t="s">
        <v>537</v>
      </c>
      <c r="I381" s="80"/>
      <c r="J381" s="80"/>
      <c r="K381" s="80"/>
      <c r="L381" s="80"/>
      <c r="M381" s="80"/>
      <c r="N381" s="80"/>
      <c r="O381" s="81"/>
      <c r="P381" s="81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3"/>
    </row>
    <row r="382" spans="1:29" s="2" customFormat="1" ht="31" x14ac:dyDescent="0.35">
      <c r="A382" s="79" t="s">
        <v>218</v>
      </c>
      <c r="B382" s="80" t="s">
        <v>219</v>
      </c>
      <c r="C382" s="80" t="s">
        <v>515</v>
      </c>
      <c r="D382" s="80"/>
      <c r="E382" s="80"/>
      <c r="F382" s="80"/>
      <c r="G382" s="80"/>
      <c r="H382" s="80" t="s">
        <v>538</v>
      </c>
      <c r="I382" s="80"/>
      <c r="J382" s="80"/>
      <c r="K382" s="80"/>
      <c r="L382" s="80"/>
      <c r="M382" s="80"/>
      <c r="N382" s="80"/>
      <c r="O382" s="81"/>
      <c r="P382" s="81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3"/>
    </row>
    <row r="383" spans="1:29" s="2" customFormat="1" ht="31" x14ac:dyDescent="0.35">
      <c r="A383" s="79" t="s">
        <v>218</v>
      </c>
      <c r="B383" s="80" t="s">
        <v>219</v>
      </c>
      <c r="C383" s="80" t="s">
        <v>515</v>
      </c>
      <c r="D383" s="80"/>
      <c r="E383" s="80"/>
      <c r="F383" s="80"/>
      <c r="G383" s="80"/>
      <c r="H383" s="80" t="s">
        <v>539</v>
      </c>
      <c r="I383" s="80"/>
      <c r="J383" s="80"/>
      <c r="K383" s="80"/>
      <c r="L383" s="80"/>
      <c r="M383" s="80"/>
      <c r="N383" s="80"/>
      <c r="O383" s="81"/>
      <c r="P383" s="81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3"/>
    </row>
    <row r="384" spans="1:29" s="2" customFormat="1" ht="31" x14ac:dyDescent="0.35">
      <c r="A384" s="79" t="s">
        <v>218</v>
      </c>
      <c r="B384" s="80" t="s">
        <v>219</v>
      </c>
      <c r="C384" s="80" t="s">
        <v>515</v>
      </c>
      <c r="D384" s="80"/>
      <c r="E384" s="80"/>
      <c r="F384" s="80"/>
      <c r="G384" s="80"/>
      <c r="H384" s="80" t="s">
        <v>540</v>
      </c>
      <c r="I384" s="80"/>
      <c r="J384" s="80"/>
      <c r="K384" s="80"/>
      <c r="L384" s="80"/>
      <c r="M384" s="80"/>
      <c r="N384" s="80"/>
      <c r="O384" s="81"/>
      <c r="P384" s="81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3"/>
    </row>
    <row r="385" spans="1:29" s="2" customFormat="1" ht="31" x14ac:dyDescent="0.35">
      <c r="A385" s="79" t="s">
        <v>218</v>
      </c>
      <c r="B385" s="80" t="s">
        <v>219</v>
      </c>
      <c r="C385" s="80" t="s">
        <v>515</v>
      </c>
      <c r="D385" s="80"/>
      <c r="E385" s="80"/>
      <c r="F385" s="80"/>
      <c r="G385" s="80"/>
      <c r="H385" s="80" t="s">
        <v>541</v>
      </c>
      <c r="I385" s="80"/>
      <c r="J385" s="80"/>
      <c r="K385" s="80"/>
      <c r="L385" s="80"/>
      <c r="M385" s="80"/>
      <c r="N385" s="80"/>
      <c r="O385" s="81"/>
      <c r="P385" s="81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3"/>
    </row>
    <row r="386" spans="1:29" s="2" customFormat="1" ht="31" x14ac:dyDescent="0.35">
      <c r="A386" s="79" t="s">
        <v>218</v>
      </c>
      <c r="B386" s="80" t="s">
        <v>219</v>
      </c>
      <c r="C386" s="80" t="s">
        <v>515</v>
      </c>
      <c r="D386" s="80"/>
      <c r="E386" s="80"/>
      <c r="F386" s="80"/>
      <c r="G386" s="80"/>
      <c r="H386" s="80" t="s">
        <v>542</v>
      </c>
      <c r="I386" s="80"/>
      <c r="J386" s="80"/>
      <c r="K386" s="80"/>
      <c r="L386" s="80"/>
      <c r="M386" s="80"/>
      <c r="N386" s="80"/>
      <c r="O386" s="81"/>
      <c r="P386" s="81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3"/>
    </row>
    <row r="387" spans="1:29" s="2" customFormat="1" ht="31" x14ac:dyDescent="0.35">
      <c r="A387" s="79" t="s">
        <v>218</v>
      </c>
      <c r="B387" s="80" t="s">
        <v>219</v>
      </c>
      <c r="C387" s="80" t="s">
        <v>515</v>
      </c>
      <c r="D387" s="80"/>
      <c r="E387" s="80"/>
      <c r="F387" s="80"/>
      <c r="G387" s="80"/>
      <c r="H387" s="80" t="s">
        <v>543</v>
      </c>
      <c r="I387" s="80"/>
      <c r="J387" s="80"/>
      <c r="K387" s="80"/>
      <c r="L387" s="80"/>
      <c r="M387" s="80"/>
      <c r="N387" s="80"/>
      <c r="O387" s="81"/>
      <c r="P387" s="81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3"/>
    </row>
    <row r="388" spans="1:29" s="2" customFormat="1" ht="31" x14ac:dyDescent="0.35">
      <c r="A388" s="79" t="s">
        <v>218</v>
      </c>
      <c r="B388" s="80" t="s">
        <v>219</v>
      </c>
      <c r="C388" s="80" t="s">
        <v>515</v>
      </c>
      <c r="D388" s="80"/>
      <c r="E388" s="80"/>
      <c r="F388" s="80"/>
      <c r="G388" s="80"/>
      <c r="H388" s="80" t="s">
        <v>544</v>
      </c>
      <c r="I388" s="80"/>
      <c r="J388" s="80"/>
      <c r="K388" s="80"/>
      <c r="L388" s="80"/>
      <c r="M388" s="80"/>
      <c r="N388" s="80"/>
      <c r="O388" s="81"/>
      <c r="P388" s="81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3"/>
    </row>
    <row r="389" spans="1:29" ht="46.5" x14ac:dyDescent="0.35">
      <c r="A389" s="71" t="s">
        <v>218</v>
      </c>
      <c r="B389" s="83" t="s">
        <v>219</v>
      </c>
      <c r="C389" s="84" t="s">
        <v>545</v>
      </c>
      <c r="D389" s="84"/>
      <c r="E389" s="85" t="s">
        <v>207</v>
      </c>
      <c r="F389" s="84"/>
      <c r="G389" s="85" t="s">
        <v>72</v>
      </c>
      <c r="H389" s="83" t="s">
        <v>546</v>
      </c>
      <c r="I389" s="84" t="s">
        <v>222</v>
      </c>
      <c r="J389" s="88" t="s">
        <v>43</v>
      </c>
      <c r="K389" s="88" t="s">
        <v>43</v>
      </c>
      <c r="L389" s="88"/>
      <c r="M389" s="83" t="s">
        <v>44</v>
      </c>
      <c r="N389" s="86">
        <v>5211.3599999999997</v>
      </c>
      <c r="O389" s="86">
        <v>1920</v>
      </c>
      <c r="P389" s="86"/>
      <c r="Q389" s="93" t="s">
        <v>189</v>
      </c>
      <c r="R389" s="87"/>
      <c r="S389" s="87"/>
      <c r="T389" s="93" t="s">
        <v>68</v>
      </c>
      <c r="U389" s="87"/>
      <c r="V389" s="87"/>
      <c r="W389" s="93" t="s">
        <v>68</v>
      </c>
      <c r="X389" s="87"/>
      <c r="Y389" s="87"/>
      <c r="Z389" s="93" t="s">
        <v>68</v>
      </c>
      <c r="AA389" s="93" t="s">
        <v>86</v>
      </c>
      <c r="AB389" s="115" t="s">
        <v>99</v>
      </c>
      <c r="AC389" s="8"/>
    </row>
    <row r="390" spans="1:29" s="2" customFormat="1" ht="31" x14ac:dyDescent="0.35">
      <c r="A390" s="79" t="s">
        <v>218</v>
      </c>
      <c r="B390" s="80" t="s">
        <v>219</v>
      </c>
      <c r="C390" s="80" t="s">
        <v>545</v>
      </c>
      <c r="D390" s="80"/>
      <c r="E390" s="80"/>
      <c r="F390" s="80"/>
      <c r="G390" s="80"/>
      <c r="H390" s="80" t="s">
        <v>547</v>
      </c>
      <c r="I390" s="80"/>
      <c r="J390" s="80"/>
      <c r="K390" s="80"/>
      <c r="L390" s="80"/>
      <c r="M390" s="80"/>
      <c r="N390" s="80"/>
      <c r="O390" s="81"/>
      <c r="P390" s="81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3"/>
    </row>
    <row r="391" spans="1:29" s="2" customFormat="1" ht="31" x14ac:dyDescent="0.35">
      <c r="A391" s="79" t="s">
        <v>218</v>
      </c>
      <c r="B391" s="80" t="s">
        <v>219</v>
      </c>
      <c r="C391" s="80" t="s">
        <v>545</v>
      </c>
      <c r="D391" s="80"/>
      <c r="E391" s="80"/>
      <c r="F391" s="80"/>
      <c r="G391" s="80"/>
      <c r="H391" s="80" t="s">
        <v>548</v>
      </c>
      <c r="I391" s="80"/>
      <c r="J391" s="80"/>
      <c r="K391" s="80"/>
      <c r="L391" s="80"/>
      <c r="M391" s="80"/>
      <c r="N391" s="80"/>
      <c r="O391" s="81"/>
      <c r="P391" s="81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3"/>
    </row>
    <row r="392" spans="1:29" s="2" customFormat="1" ht="31" x14ac:dyDescent="0.35">
      <c r="A392" s="79" t="s">
        <v>218</v>
      </c>
      <c r="B392" s="80" t="s">
        <v>219</v>
      </c>
      <c r="C392" s="80" t="s">
        <v>545</v>
      </c>
      <c r="D392" s="80"/>
      <c r="E392" s="80"/>
      <c r="F392" s="80"/>
      <c r="G392" s="80"/>
      <c r="H392" s="80" t="s">
        <v>549</v>
      </c>
      <c r="I392" s="80"/>
      <c r="J392" s="80"/>
      <c r="K392" s="80"/>
      <c r="L392" s="80"/>
      <c r="M392" s="80"/>
      <c r="N392" s="80"/>
      <c r="O392" s="81"/>
      <c r="P392" s="81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3"/>
    </row>
    <row r="393" spans="1:29" s="2" customFormat="1" ht="31" x14ac:dyDescent="0.35">
      <c r="A393" s="79" t="s">
        <v>218</v>
      </c>
      <c r="B393" s="80" t="s">
        <v>219</v>
      </c>
      <c r="C393" s="80" t="s">
        <v>545</v>
      </c>
      <c r="D393" s="80"/>
      <c r="E393" s="80"/>
      <c r="F393" s="80"/>
      <c r="G393" s="80"/>
      <c r="H393" s="80" t="s">
        <v>550</v>
      </c>
      <c r="I393" s="80"/>
      <c r="J393" s="80"/>
      <c r="K393" s="80"/>
      <c r="L393" s="80"/>
      <c r="M393" s="80"/>
      <c r="N393" s="80"/>
      <c r="O393" s="81"/>
      <c r="P393" s="81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3"/>
    </row>
    <row r="394" spans="1:29" s="2" customFormat="1" ht="31" x14ac:dyDescent="0.35">
      <c r="A394" s="79" t="s">
        <v>218</v>
      </c>
      <c r="B394" s="80" t="s">
        <v>219</v>
      </c>
      <c r="C394" s="80" t="s">
        <v>545</v>
      </c>
      <c r="D394" s="80"/>
      <c r="E394" s="80"/>
      <c r="F394" s="80"/>
      <c r="G394" s="80"/>
      <c r="H394" s="80" t="s">
        <v>551</v>
      </c>
      <c r="I394" s="80"/>
      <c r="J394" s="80"/>
      <c r="K394" s="80"/>
      <c r="L394" s="80"/>
      <c r="M394" s="80"/>
      <c r="N394" s="80"/>
      <c r="O394" s="81"/>
      <c r="P394" s="81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3"/>
    </row>
    <row r="395" spans="1:29" s="2" customFormat="1" ht="31" x14ac:dyDescent="0.35">
      <c r="A395" s="79" t="s">
        <v>218</v>
      </c>
      <c r="B395" s="80" t="s">
        <v>219</v>
      </c>
      <c r="C395" s="80" t="s">
        <v>545</v>
      </c>
      <c r="D395" s="80"/>
      <c r="E395" s="80"/>
      <c r="F395" s="80"/>
      <c r="G395" s="80"/>
      <c r="H395" s="80" t="s">
        <v>552</v>
      </c>
      <c r="I395" s="80"/>
      <c r="J395" s="80"/>
      <c r="K395" s="80"/>
      <c r="L395" s="80"/>
      <c r="M395" s="80"/>
      <c r="N395" s="80"/>
      <c r="O395" s="81"/>
      <c r="P395" s="81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3"/>
    </row>
    <row r="396" spans="1:29" s="2" customFormat="1" ht="31" x14ac:dyDescent="0.35">
      <c r="A396" s="79" t="s">
        <v>218</v>
      </c>
      <c r="B396" s="80" t="s">
        <v>219</v>
      </c>
      <c r="C396" s="80" t="s">
        <v>545</v>
      </c>
      <c r="D396" s="80"/>
      <c r="E396" s="80"/>
      <c r="F396" s="80"/>
      <c r="G396" s="80"/>
      <c r="H396" s="80" t="s">
        <v>553</v>
      </c>
      <c r="I396" s="80"/>
      <c r="J396" s="80"/>
      <c r="K396" s="80"/>
      <c r="L396" s="80"/>
      <c r="M396" s="80"/>
      <c r="N396" s="80"/>
      <c r="O396" s="81"/>
      <c r="P396" s="81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3"/>
    </row>
    <row r="397" spans="1:29" s="2" customFormat="1" ht="31" x14ac:dyDescent="0.35">
      <c r="A397" s="79" t="s">
        <v>218</v>
      </c>
      <c r="B397" s="80" t="s">
        <v>219</v>
      </c>
      <c r="C397" s="80" t="s">
        <v>545</v>
      </c>
      <c r="D397" s="80"/>
      <c r="E397" s="80"/>
      <c r="F397" s="80"/>
      <c r="G397" s="80"/>
      <c r="H397" s="80" t="s">
        <v>554</v>
      </c>
      <c r="I397" s="80"/>
      <c r="J397" s="80"/>
      <c r="K397" s="80"/>
      <c r="L397" s="80"/>
      <c r="M397" s="80"/>
      <c r="N397" s="80"/>
      <c r="O397" s="81"/>
      <c r="P397" s="81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3"/>
    </row>
    <row r="398" spans="1:29" s="2" customFormat="1" ht="31" x14ac:dyDescent="0.35">
      <c r="A398" s="79" t="s">
        <v>218</v>
      </c>
      <c r="B398" s="80" t="s">
        <v>219</v>
      </c>
      <c r="C398" s="80" t="s">
        <v>545</v>
      </c>
      <c r="D398" s="80"/>
      <c r="E398" s="80"/>
      <c r="F398" s="80"/>
      <c r="G398" s="80"/>
      <c r="H398" s="80" t="s">
        <v>555</v>
      </c>
      <c r="I398" s="80"/>
      <c r="J398" s="80"/>
      <c r="K398" s="80"/>
      <c r="L398" s="80"/>
      <c r="M398" s="80"/>
      <c r="N398" s="80"/>
      <c r="O398" s="81"/>
      <c r="P398" s="81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3"/>
    </row>
    <row r="399" spans="1:29" s="2" customFormat="1" ht="31" x14ac:dyDescent="0.35">
      <c r="A399" s="79" t="s">
        <v>218</v>
      </c>
      <c r="B399" s="80" t="s">
        <v>219</v>
      </c>
      <c r="C399" s="80" t="s">
        <v>545</v>
      </c>
      <c r="D399" s="80"/>
      <c r="E399" s="80"/>
      <c r="F399" s="80"/>
      <c r="G399" s="80"/>
      <c r="H399" s="80" t="s">
        <v>556</v>
      </c>
      <c r="I399" s="80"/>
      <c r="J399" s="80"/>
      <c r="K399" s="80"/>
      <c r="L399" s="80"/>
      <c r="M399" s="80"/>
      <c r="N399" s="80"/>
      <c r="O399" s="81"/>
      <c r="P399" s="81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3"/>
    </row>
    <row r="400" spans="1:29" s="2" customFormat="1" ht="31" x14ac:dyDescent="0.35">
      <c r="A400" s="79" t="s">
        <v>218</v>
      </c>
      <c r="B400" s="80" t="s">
        <v>219</v>
      </c>
      <c r="C400" s="80" t="s">
        <v>545</v>
      </c>
      <c r="D400" s="80"/>
      <c r="E400" s="80"/>
      <c r="F400" s="80"/>
      <c r="G400" s="80"/>
      <c r="H400" s="80" t="s">
        <v>557</v>
      </c>
      <c r="I400" s="80"/>
      <c r="J400" s="80"/>
      <c r="K400" s="80"/>
      <c r="L400" s="80"/>
      <c r="M400" s="80"/>
      <c r="N400" s="80"/>
      <c r="O400" s="81"/>
      <c r="P400" s="81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3"/>
    </row>
    <row r="401" spans="1:29" s="2" customFormat="1" ht="31" x14ac:dyDescent="0.35">
      <c r="A401" s="79" t="s">
        <v>218</v>
      </c>
      <c r="B401" s="80" t="s">
        <v>219</v>
      </c>
      <c r="C401" s="80" t="s">
        <v>545</v>
      </c>
      <c r="D401" s="80"/>
      <c r="E401" s="80"/>
      <c r="F401" s="80"/>
      <c r="G401" s="80"/>
      <c r="H401" s="80" t="s">
        <v>558</v>
      </c>
      <c r="I401" s="80"/>
      <c r="J401" s="80"/>
      <c r="K401" s="80"/>
      <c r="L401" s="80"/>
      <c r="M401" s="80"/>
      <c r="N401" s="80"/>
      <c r="O401" s="81"/>
      <c r="P401" s="81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3"/>
    </row>
    <row r="402" spans="1:29" s="2" customFormat="1" ht="31" x14ac:dyDescent="0.35">
      <c r="A402" s="79" t="s">
        <v>218</v>
      </c>
      <c r="B402" s="80" t="s">
        <v>219</v>
      </c>
      <c r="C402" s="80" t="s">
        <v>545</v>
      </c>
      <c r="D402" s="80"/>
      <c r="E402" s="80"/>
      <c r="F402" s="80"/>
      <c r="G402" s="80"/>
      <c r="H402" s="80" t="s">
        <v>559</v>
      </c>
      <c r="I402" s="80"/>
      <c r="J402" s="80"/>
      <c r="K402" s="80"/>
      <c r="L402" s="80"/>
      <c r="M402" s="80"/>
      <c r="N402" s="80"/>
      <c r="O402" s="81"/>
      <c r="P402" s="81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3"/>
    </row>
    <row r="403" spans="1:29" ht="46.5" x14ac:dyDescent="0.35">
      <c r="A403" s="71" t="s">
        <v>218</v>
      </c>
      <c r="B403" s="83" t="s">
        <v>219</v>
      </c>
      <c r="C403" s="136" t="s">
        <v>560</v>
      </c>
      <c r="D403" s="137" t="s">
        <v>99</v>
      </c>
      <c r="E403" s="136"/>
      <c r="F403" s="136"/>
      <c r="G403" s="136"/>
      <c r="H403" s="83" t="s">
        <v>177</v>
      </c>
      <c r="I403" s="84" t="s">
        <v>561</v>
      </c>
      <c r="J403" s="83" t="s">
        <v>179</v>
      </c>
      <c r="K403" s="83" t="s">
        <v>75</v>
      </c>
      <c r="L403" s="83"/>
      <c r="M403" s="83"/>
      <c r="N403" s="86" t="s">
        <v>44</v>
      </c>
      <c r="O403" s="138" t="s">
        <v>44</v>
      </c>
      <c r="P403" s="138"/>
      <c r="Q403" s="93" t="s">
        <v>100</v>
      </c>
      <c r="R403" s="93" t="s">
        <v>100</v>
      </c>
      <c r="S403" s="93" t="s">
        <v>100</v>
      </c>
      <c r="T403" s="93" t="s">
        <v>100</v>
      </c>
      <c r="U403" s="93" t="s">
        <v>100</v>
      </c>
      <c r="V403" s="93" t="s">
        <v>100</v>
      </c>
      <c r="W403" s="93" t="s">
        <v>100</v>
      </c>
      <c r="X403" s="93" t="s">
        <v>100</v>
      </c>
      <c r="Y403" s="93" t="s">
        <v>100</v>
      </c>
      <c r="Z403" s="93" t="s">
        <v>100</v>
      </c>
      <c r="AA403" s="93" t="s">
        <v>100</v>
      </c>
      <c r="AB403" s="93" t="s">
        <v>100</v>
      </c>
      <c r="AC403" s="8"/>
    </row>
    <row r="404" spans="1:29" s="2" customFormat="1" ht="46.5" x14ac:dyDescent="0.35">
      <c r="A404" s="79" t="s">
        <v>218</v>
      </c>
      <c r="B404" s="80" t="s">
        <v>219</v>
      </c>
      <c r="C404" s="80" t="s">
        <v>560</v>
      </c>
      <c r="D404" s="80"/>
      <c r="E404" s="80"/>
      <c r="F404" s="80"/>
      <c r="G404" s="80"/>
      <c r="H404" s="80" t="s">
        <v>562</v>
      </c>
      <c r="I404" s="80"/>
      <c r="J404" s="80"/>
      <c r="K404" s="80"/>
      <c r="L404" s="80"/>
      <c r="M404" s="80"/>
      <c r="N404" s="80"/>
      <c r="O404" s="81"/>
      <c r="P404" s="81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3"/>
    </row>
    <row r="405" spans="1:29" ht="46.5" x14ac:dyDescent="0.35">
      <c r="A405" s="71" t="s">
        <v>218</v>
      </c>
      <c r="B405" s="83" t="s">
        <v>219</v>
      </c>
      <c r="C405" s="84" t="s">
        <v>563</v>
      </c>
      <c r="D405" s="84"/>
      <c r="E405" s="85" t="s">
        <v>72</v>
      </c>
      <c r="F405" s="84"/>
      <c r="G405" s="84"/>
      <c r="H405" s="83" t="s">
        <v>564</v>
      </c>
      <c r="I405" s="84" t="s">
        <v>222</v>
      </c>
      <c r="J405" s="88" t="s">
        <v>82</v>
      </c>
      <c r="K405" s="88" t="s">
        <v>43</v>
      </c>
      <c r="L405" s="88"/>
      <c r="M405" s="83" t="s">
        <v>44</v>
      </c>
      <c r="N405" s="100" t="s">
        <v>83</v>
      </c>
      <c r="O405" s="86">
        <v>3312</v>
      </c>
      <c r="P405" s="86"/>
      <c r="Q405" s="87"/>
      <c r="R405" s="87"/>
      <c r="S405" s="87"/>
      <c r="T405" s="87"/>
      <c r="U405" s="93" t="s">
        <v>86</v>
      </c>
      <c r="V405" s="87"/>
      <c r="W405" s="87"/>
      <c r="X405" s="87"/>
      <c r="Y405" s="87"/>
      <c r="Z405" s="87"/>
      <c r="AA405" s="87"/>
      <c r="AB405" s="87"/>
      <c r="AC405" s="8"/>
    </row>
    <row r="406" spans="1:29" ht="46.5" x14ac:dyDescent="0.35">
      <c r="A406" s="83" t="s">
        <v>218</v>
      </c>
      <c r="B406" s="83" t="s">
        <v>219</v>
      </c>
      <c r="C406" s="84" t="s">
        <v>565</v>
      </c>
      <c r="D406" s="84"/>
      <c r="E406" s="98" t="s">
        <v>72</v>
      </c>
      <c r="F406" s="84"/>
      <c r="G406" s="98" t="s">
        <v>72</v>
      </c>
      <c r="H406" s="83" t="s">
        <v>566</v>
      </c>
      <c r="I406" s="84" t="s">
        <v>222</v>
      </c>
      <c r="J406" s="139" t="s">
        <v>105</v>
      </c>
      <c r="K406" s="139" t="s">
        <v>43</v>
      </c>
      <c r="L406" s="139"/>
      <c r="M406" s="83" t="s">
        <v>44</v>
      </c>
      <c r="N406" s="86">
        <v>660</v>
      </c>
      <c r="O406" s="86" t="s">
        <v>567</v>
      </c>
      <c r="P406" s="86"/>
      <c r="Q406" s="87"/>
      <c r="R406" s="87"/>
      <c r="S406" s="87"/>
      <c r="T406" s="87"/>
      <c r="U406" s="93" t="s">
        <v>86</v>
      </c>
      <c r="V406" s="87"/>
      <c r="W406" s="87"/>
      <c r="X406" s="87"/>
      <c r="Y406" s="87"/>
      <c r="Z406" s="87"/>
      <c r="AA406" s="87"/>
      <c r="AB406" s="87"/>
      <c r="AC406" s="8"/>
    </row>
    <row r="407" spans="1:29" ht="46.5" x14ac:dyDescent="0.35">
      <c r="A407" s="83" t="s">
        <v>218</v>
      </c>
      <c r="B407" s="83" t="s">
        <v>219</v>
      </c>
      <c r="C407" s="84"/>
      <c r="D407" s="84"/>
      <c r="E407" s="84"/>
      <c r="F407" s="84"/>
      <c r="G407" s="84"/>
      <c r="H407" s="83" t="s">
        <v>568</v>
      </c>
      <c r="I407" s="84" t="s">
        <v>222</v>
      </c>
      <c r="J407" s="139" t="s">
        <v>105</v>
      </c>
      <c r="K407" s="139" t="s">
        <v>43</v>
      </c>
      <c r="L407" s="139"/>
      <c r="M407" s="83" t="s">
        <v>44</v>
      </c>
      <c r="N407" s="86"/>
      <c r="O407" s="86"/>
      <c r="P407" s="86"/>
      <c r="Q407" s="87"/>
      <c r="R407" s="87"/>
      <c r="S407" s="87"/>
      <c r="T407" s="87"/>
      <c r="U407" s="93" t="s">
        <v>86</v>
      </c>
      <c r="V407" s="87"/>
      <c r="W407" s="87"/>
      <c r="X407" s="87"/>
      <c r="Y407" s="87"/>
      <c r="Z407" s="87"/>
      <c r="AA407" s="87"/>
      <c r="AB407" s="87"/>
      <c r="AC407" s="8"/>
    </row>
    <row r="408" spans="1:29" ht="46.5" x14ac:dyDescent="0.35">
      <c r="A408" s="83" t="s">
        <v>218</v>
      </c>
      <c r="B408" s="83" t="s">
        <v>219</v>
      </c>
      <c r="C408" s="84" t="s">
        <v>569</v>
      </c>
      <c r="D408" s="84"/>
      <c r="E408" s="98" t="s">
        <v>72</v>
      </c>
      <c r="F408" s="84"/>
      <c r="G408" s="84"/>
      <c r="H408" s="83" t="s">
        <v>570</v>
      </c>
      <c r="I408" s="84" t="s">
        <v>222</v>
      </c>
      <c r="J408" s="139" t="s">
        <v>105</v>
      </c>
      <c r="K408" s="139" t="s">
        <v>43</v>
      </c>
      <c r="L408" s="139"/>
      <c r="M408" s="83" t="s">
        <v>44</v>
      </c>
      <c r="N408" s="86">
        <v>420</v>
      </c>
      <c r="O408" s="86" t="s">
        <v>567</v>
      </c>
      <c r="P408" s="86"/>
      <c r="Q408" s="87"/>
      <c r="R408" s="87"/>
      <c r="S408" s="87"/>
      <c r="T408" s="87"/>
      <c r="U408" s="93" t="s">
        <v>86</v>
      </c>
      <c r="V408" s="87"/>
      <c r="W408" s="87"/>
      <c r="X408" s="87"/>
      <c r="Y408" s="87"/>
      <c r="Z408" s="87"/>
      <c r="AA408" s="87"/>
      <c r="AB408" s="87"/>
      <c r="AC408" s="8"/>
    </row>
    <row r="409" spans="1:29" ht="46.5" x14ac:dyDescent="0.35">
      <c r="A409" s="83" t="s">
        <v>218</v>
      </c>
      <c r="B409" s="83" t="s">
        <v>219</v>
      </c>
      <c r="C409" s="84" t="s">
        <v>571</v>
      </c>
      <c r="D409" s="92" t="s">
        <v>72</v>
      </c>
      <c r="E409" s="84"/>
      <c r="F409" s="84"/>
      <c r="G409" s="84"/>
      <c r="H409" s="83" t="s">
        <v>572</v>
      </c>
      <c r="I409" s="84" t="s">
        <v>222</v>
      </c>
      <c r="J409" s="72" t="s">
        <v>43</v>
      </c>
      <c r="K409" s="83" t="s">
        <v>43</v>
      </c>
      <c r="L409" s="88" t="s">
        <v>66</v>
      </c>
      <c r="M409" s="83" t="s">
        <v>44</v>
      </c>
      <c r="N409" s="140" t="s">
        <v>83</v>
      </c>
      <c r="O409" s="123"/>
      <c r="P409" s="123"/>
      <c r="Q409" s="87"/>
      <c r="R409" s="87"/>
      <c r="S409" s="87"/>
      <c r="T409" s="87"/>
      <c r="U409" s="87"/>
      <c r="V409" s="87"/>
      <c r="W409" s="78" t="s">
        <v>72</v>
      </c>
      <c r="X409" s="87"/>
      <c r="Y409" s="87"/>
      <c r="Z409" s="87"/>
      <c r="AA409" s="87"/>
      <c r="AB409" s="87"/>
      <c r="AC409" s="8"/>
    </row>
    <row r="410" spans="1:29" ht="46.5" x14ac:dyDescent="0.35">
      <c r="A410" s="83" t="s">
        <v>218</v>
      </c>
      <c r="B410" s="83" t="s">
        <v>219</v>
      </c>
      <c r="C410" s="84" t="s">
        <v>573</v>
      </c>
      <c r="D410" s="84"/>
      <c r="E410" s="98" t="s">
        <v>72</v>
      </c>
      <c r="F410" s="84"/>
      <c r="G410" s="84"/>
      <c r="H410" s="83" t="s">
        <v>574</v>
      </c>
      <c r="I410" s="84" t="s">
        <v>222</v>
      </c>
      <c r="J410" s="72" t="s">
        <v>223</v>
      </c>
      <c r="K410" s="88" t="s">
        <v>75</v>
      </c>
      <c r="L410" s="88" t="s">
        <v>66</v>
      </c>
      <c r="M410" s="72" t="s">
        <v>67</v>
      </c>
      <c r="N410" s="76">
        <v>0</v>
      </c>
      <c r="O410" s="86">
        <v>0</v>
      </c>
      <c r="P410" s="86"/>
      <c r="Q410" s="87"/>
      <c r="R410" s="93" t="s">
        <v>86</v>
      </c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8" t="s">
        <v>224</v>
      </c>
    </row>
    <row r="411" spans="1:29" ht="46.5" x14ac:dyDescent="0.35">
      <c r="A411" s="83" t="s">
        <v>218</v>
      </c>
      <c r="B411" s="83" t="s">
        <v>219</v>
      </c>
      <c r="C411" s="84" t="s">
        <v>573</v>
      </c>
      <c r="D411" s="92" t="s">
        <v>99</v>
      </c>
      <c r="E411" s="84"/>
      <c r="F411" s="84"/>
      <c r="G411" s="84"/>
      <c r="H411" s="83" t="s">
        <v>574</v>
      </c>
      <c r="I411" s="84" t="s">
        <v>222</v>
      </c>
      <c r="J411" s="72" t="s">
        <v>223</v>
      </c>
      <c r="K411" s="88" t="s">
        <v>75</v>
      </c>
      <c r="L411" s="88" t="s">
        <v>66</v>
      </c>
      <c r="M411" s="72" t="s">
        <v>67</v>
      </c>
      <c r="N411" s="76">
        <v>0</v>
      </c>
      <c r="O411" s="86">
        <v>0</v>
      </c>
      <c r="P411" s="86"/>
      <c r="Q411" s="93" t="s">
        <v>100</v>
      </c>
      <c r="R411" s="93" t="s">
        <v>100</v>
      </c>
      <c r="S411" s="93" t="s">
        <v>100</v>
      </c>
      <c r="T411" s="93" t="s">
        <v>100</v>
      </c>
      <c r="U411" s="93" t="s">
        <v>100</v>
      </c>
      <c r="V411" s="93" t="s">
        <v>100</v>
      </c>
      <c r="W411" s="93" t="s">
        <v>100</v>
      </c>
      <c r="X411" s="93" t="s">
        <v>100</v>
      </c>
      <c r="Y411" s="93" t="s">
        <v>100</v>
      </c>
      <c r="Z411" s="97" t="s">
        <v>99</v>
      </c>
      <c r="AA411" s="97" t="s">
        <v>99</v>
      </c>
      <c r="AB411" s="97" t="s">
        <v>99</v>
      </c>
      <c r="AC411" s="8" t="s">
        <v>224</v>
      </c>
    </row>
    <row r="412" spans="1:29" ht="46.5" x14ac:dyDescent="0.35">
      <c r="A412" s="83" t="s">
        <v>218</v>
      </c>
      <c r="B412" s="83" t="s">
        <v>219</v>
      </c>
      <c r="C412" s="84" t="s">
        <v>575</v>
      </c>
      <c r="D412" s="92" t="s">
        <v>72</v>
      </c>
      <c r="E412" s="84"/>
      <c r="F412" s="84"/>
      <c r="G412" s="84"/>
      <c r="H412" s="83" t="s">
        <v>576</v>
      </c>
      <c r="I412" s="84" t="s">
        <v>222</v>
      </c>
      <c r="J412" s="72" t="s">
        <v>43</v>
      </c>
      <c r="K412" s="83" t="s">
        <v>43</v>
      </c>
      <c r="L412" s="83"/>
      <c r="M412" s="83" t="s">
        <v>44</v>
      </c>
      <c r="N412" s="123"/>
      <c r="O412" s="143"/>
      <c r="P412" s="144"/>
      <c r="Q412" s="145"/>
      <c r="R412" s="145"/>
      <c r="S412" s="145"/>
      <c r="T412" s="145"/>
      <c r="U412" s="145"/>
      <c r="V412" s="145"/>
      <c r="W412" s="145"/>
      <c r="X412" s="146" t="s">
        <v>72</v>
      </c>
      <c r="Y412" s="145"/>
      <c r="Z412" s="145"/>
      <c r="AA412" s="145"/>
      <c r="AB412" s="145"/>
      <c r="AC412" s="51"/>
    </row>
    <row r="413" spans="1:29" ht="46.5" x14ac:dyDescent="0.35">
      <c r="A413" s="83" t="s">
        <v>218</v>
      </c>
      <c r="B413" s="83" t="s">
        <v>219</v>
      </c>
      <c r="C413" s="84" t="s">
        <v>577</v>
      </c>
      <c r="D413" s="84"/>
      <c r="E413" s="98" t="s">
        <v>207</v>
      </c>
      <c r="F413" s="84"/>
      <c r="G413" s="98" t="s">
        <v>207</v>
      </c>
      <c r="H413" s="83" t="s">
        <v>578</v>
      </c>
      <c r="I413" s="84" t="s">
        <v>222</v>
      </c>
      <c r="J413" s="72" t="s">
        <v>43</v>
      </c>
      <c r="K413" s="83" t="s">
        <v>43</v>
      </c>
      <c r="L413" s="118"/>
      <c r="M413" s="83" t="s">
        <v>44</v>
      </c>
      <c r="N413" s="124" t="s">
        <v>579</v>
      </c>
      <c r="O413" s="124" t="s">
        <v>579</v>
      </c>
      <c r="P413" s="147"/>
      <c r="Q413" s="199"/>
      <c r="R413" s="200" t="s">
        <v>46</v>
      </c>
      <c r="S413" s="199"/>
      <c r="T413" s="199"/>
      <c r="U413" s="199"/>
      <c r="V413" s="199"/>
      <c r="W413" s="199"/>
      <c r="X413" s="200" t="s">
        <v>45</v>
      </c>
      <c r="Y413" s="199"/>
      <c r="Z413" s="199"/>
      <c r="AA413" s="199"/>
      <c r="AB413" s="199"/>
      <c r="AC413" s="201"/>
    </row>
    <row r="414" spans="1:29" ht="46.5" x14ac:dyDescent="0.35">
      <c r="A414" s="83" t="s">
        <v>218</v>
      </c>
      <c r="B414" s="83" t="s">
        <v>219</v>
      </c>
      <c r="C414" s="84"/>
      <c r="D414" s="84"/>
      <c r="E414" s="98"/>
      <c r="F414" s="84"/>
      <c r="G414" s="98"/>
      <c r="H414" s="83" t="s">
        <v>580</v>
      </c>
      <c r="I414" s="84" t="s">
        <v>222</v>
      </c>
      <c r="J414" s="72" t="s">
        <v>223</v>
      </c>
      <c r="K414" s="83" t="s">
        <v>75</v>
      </c>
      <c r="L414" s="118"/>
      <c r="M414" s="107"/>
      <c r="N414" s="124"/>
      <c r="O414" s="124"/>
      <c r="P414" s="197"/>
      <c r="Q414" s="200" t="s">
        <v>100</v>
      </c>
      <c r="R414" s="200" t="s">
        <v>100</v>
      </c>
      <c r="S414" s="200" t="s">
        <v>86</v>
      </c>
      <c r="T414" s="200" t="s">
        <v>100</v>
      </c>
      <c r="U414" s="200" t="s">
        <v>100</v>
      </c>
      <c r="V414" s="200" t="s">
        <v>100</v>
      </c>
      <c r="W414" s="200" t="s">
        <v>100</v>
      </c>
      <c r="X414" s="200" t="s">
        <v>100</v>
      </c>
      <c r="Y414" s="200" t="s">
        <v>100</v>
      </c>
      <c r="Z414" s="204" t="s">
        <v>99</v>
      </c>
      <c r="AA414" s="204" t="s">
        <v>99</v>
      </c>
      <c r="AB414" s="204" t="s">
        <v>99</v>
      </c>
      <c r="AC414" s="196"/>
    </row>
    <row r="415" spans="1:29" ht="46.5" x14ac:dyDescent="0.35">
      <c r="A415" s="83" t="s">
        <v>218</v>
      </c>
      <c r="B415" s="83" t="s">
        <v>219</v>
      </c>
      <c r="C415" s="84"/>
      <c r="D415" s="84"/>
      <c r="E415" s="98"/>
      <c r="F415" s="84"/>
      <c r="G415" s="98"/>
      <c r="H415" s="83" t="s">
        <v>581</v>
      </c>
      <c r="I415" s="84" t="s">
        <v>222</v>
      </c>
      <c r="J415" s="72" t="s">
        <v>223</v>
      </c>
      <c r="K415" s="83" t="s">
        <v>75</v>
      </c>
      <c r="L415" s="118"/>
      <c r="M415" s="107"/>
      <c r="N415" s="124"/>
      <c r="O415" s="124"/>
      <c r="P415" s="124"/>
      <c r="Q415" s="93" t="s">
        <v>100</v>
      </c>
      <c r="R415" s="93" t="s">
        <v>100</v>
      </c>
      <c r="S415" s="93" t="s">
        <v>100</v>
      </c>
      <c r="T415" s="93" t="s">
        <v>100</v>
      </c>
      <c r="U415" s="93" t="s">
        <v>100</v>
      </c>
      <c r="V415" s="93" t="s">
        <v>100</v>
      </c>
      <c r="W415" s="207" t="s">
        <v>99</v>
      </c>
      <c r="X415" s="255" t="s">
        <v>100</v>
      </c>
      <c r="Y415" s="255" t="s">
        <v>582</v>
      </c>
      <c r="Z415" s="207" t="s">
        <v>99</v>
      </c>
      <c r="AA415" s="207" t="s">
        <v>99</v>
      </c>
      <c r="AB415" s="207" t="s">
        <v>99</v>
      </c>
      <c r="AC415" s="203"/>
    </row>
    <row r="416" spans="1:29" ht="46.5" x14ac:dyDescent="0.35">
      <c r="A416" s="83" t="s">
        <v>218</v>
      </c>
      <c r="B416" s="83" t="s">
        <v>219</v>
      </c>
      <c r="C416" s="84"/>
      <c r="D416" s="84"/>
      <c r="E416" s="98"/>
      <c r="F416" s="84"/>
      <c r="G416" s="98"/>
      <c r="H416" s="83" t="s">
        <v>583</v>
      </c>
      <c r="I416" s="84" t="s">
        <v>222</v>
      </c>
      <c r="J416" s="72" t="s">
        <v>223</v>
      </c>
      <c r="K416" s="88" t="s">
        <v>75</v>
      </c>
      <c r="L416" s="88" t="s">
        <v>66</v>
      </c>
      <c r="M416" s="72" t="s">
        <v>67</v>
      </c>
      <c r="N416" s="124"/>
      <c r="O416" s="124"/>
      <c r="P416" s="124"/>
      <c r="Q416" s="205" t="s">
        <v>100</v>
      </c>
      <c r="R416" s="205" t="s">
        <v>100</v>
      </c>
      <c r="S416" s="205" t="s">
        <v>100</v>
      </c>
      <c r="T416" s="205" t="s">
        <v>100</v>
      </c>
      <c r="U416" s="205" t="s">
        <v>100</v>
      </c>
      <c r="V416" s="205" t="s">
        <v>100</v>
      </c>
      <c r="W416" s="205" t="s">
        <v>100</v>
      </c>
      <c r="X416" s="206"/>
      <c r="Y416" s="206"/>
      <c r="Z416" s="206"/>
      <c r="AA416" s="206"/>
      <c r="AB416" s="206"/>
      <c r="AC416" s="196"/>
    </row>
    <row r="417" spans="1:29" ht="46.5" x14ac:dyDescent="0.35">
      <c r="A417" s="117" t="s">
        <v>218</v>
      </c>
      <c r="B417" s="117" t="s">
        <v>219</v>
      </c>
      <c r="C417" s="84" t="s">
        <v>584</v>
      </c>
      <c r="D417" s="92" t="s">
        <v>72</v>
      </c>
      <c r="E417" s="84"/>
      <c r="F417" s="84"/>
      <c r="G417" s="84"/>
      <c r="H417" s="117" t="s">
        <v>585</v>
      </c>
      <c r="I417" s="136" t="s">
        <v>222</v>
      </c>
      <c r="J417" s="148" t="s">
        <v>223</v>
      </c>
      <c r="K417" s="149" t="s">
        <v>75</v>
      </c>
      <c r="L417" s="149" t="s">
        <v>66</v>
      </c>
      <c r="M417" s="72" t="s">
        <v>67</v>
      </c>
      <c r="N417" s="150">
        <v>414.23</v>
      </c>
      <c r="O417" s="151">
        <v>0</v>
      </c>
      <c r="P417" s="198"/>
      <c r="Q417" s="145"/>
      <c r="R417" s="145"/>
      <c r="S417" s="145"/>
      <c r="T417" s="145"/>
      <c r="U417" s="217"/>
      <c r="V417" s="145"/>
      <c r="W417" s="145"/>
      <c r="X417" s="145"/>
      <c r="Y417" s="145"/>
      <c r="Z417" s="145"/>
      <c r="AA417" s="145"/>
      <c r="AB417" s="145"/>
      <c r="AC417" s="196" t="s">
        <v>224</v>
      </c>
    </row>
    <row r="418" spans="1:29" ht="46.5" x14ac:dyDescent="0.35">
      <c r="A418" s="83" t="s">
        <v>218</v>
      </c>
      <c r="B418" s="83" t="s">
        <v>219</v>
      </c>
      <c r="C418" s="84" t="s">
        <v>586</v>
      </c>
      <c r="D418" s="92" t="s">
        <v>72</v>
      </c>
      <c r="E418" s="84"/>
      <c r="F418" s="84"/>
      <c r="G418" s="84"/>
      <c r="H418" s="83" t="s">
        <v>587</v>
      </c>
      <c r="I418" s="84" t="s">
        <v>222</v>
      </c>
      <c r="J418" s="83" t="s">
        <v>588</v>
      </c>
      <c r="K418" s="83" t="s">
        <v>75</v>
      </c>
      <c r="L418" s="83"/>
      <c r="M418" s="83" t="s">
        <v>589</v>
      </c>
      <c r="N418" s="153">
        <v>1957</v>
      </c>
      <c r="O418" s="128">
        <v>2147</v>
      </c>
      <c r="P418" s="154"/>
      <c r="Q418" s="110"/>
      <c r="R418" s="110"/>
      <c r="S418" s="110"/>
      <c r="T418" s="110"/>
      <c r="U418" s="110"/>
      <c r="V418" s="110"/>
      <c r="W418" s="205" t="s">
        <v>86</v>
      </c>
      <c r="X418" s="110"/>
      <c r="Y418" s="110"/>
      <c r="Z418" s="110"/>
      <c r="AA418" s="110"/>
      <c r="AB418" s="110"/>
      <c r="AC418" s="202"/>
    </row>
    <row r="419" spans="1:29" ht="46.5" x14ac:dyDescent="0.35">
      <c r="A419" s="83" t="s">
        <v>218</v>
      </c>
      <c r="B419" s="83" t="s">
        <v>219</v>
      </c>
      <c r="C419" s="84" t="s">
        <v>590</v>
      </c>
      <c r="D419" s="84"/>
      <c r="E419" s="98" t="s">
        <v>114</v>
      </c>
      <c r="F419" s="84"/>
      <c r="G419" s="84"/>
      <c r="H419" s="83" t="s">
        <v>591</v>
      </c>
      <c r="I419" s="84" t="s">
        <v>222</v>
      </c>
      <c r="J419" s="83" t="s">
        <v>592</v>
      </c>
      <c r="K419" s="83" t="s">
        <v>43</v>
      </c>
      <c r="L419" s="83"/>
      <c r="M419" s="83" t="s">
        <v>44</v>
      </c>
      <c r="N419" s="86">
        <v>460</v>
      </c>
      <c r="O419" s="123">
        <v>0</v>
      </c>
      <c r="P419" s="123"/>
      <c r="Q419" s="87"/>
      <c r="R419" s="93" t="s">
        <v>86</v>
      </c>
      <c r="S419" s="87"/>
      <c r="T419" s="87"/>
      <c r="U419" s="87"/>
      <c r="V419" s="87"/>
      <c r="W419" s="87"/>
      <c r="X419" s="93" t="s">
        <v>45</v>
      </c>
      <c r="Y419" s="87"/>
      <c r="Z419" s="87"/>
      <c r="AA419" s="87"/>
      <c r="AB419" s="87"/>
      <c r="AC419" s="8"/>
    </row>
    <row r="420" spans="1:29" ht="46.5" x14ac:dyDescent="0.35">
      <c r="A420" s="83" t="s">
        <v>218</v>
      </c>
      <c r="B420" s="83" t="s">
        <v>219</v>
      </c>
      <c r="C420" s="84" t="s">
        <v>593</v>
      </c>
      <c r="D420" s="84"/>
      <c r="E420" s="98" t="s">
        <v>72</v>
      </c>
      <c r="F420" s="84"/>
      <c r="G420" s="98" t="s">
        <v>72</v>
      </c>
      <c r="H420" s="83" t="s">
        <v>594</v>
      </c>
      <c r="I420" s="84" t="s">
        <v>222</v>
      </c>
      <c r="J420" s="83" t="s">
        <v>592</v>
      </c>
      <c r="K420" s="83" t="s">
        <v>43</v>
      </c>
      <c r="L420" s="83"/>
      <c r="M420" s="83" t="s">
        <v>44</v>
      </c>
      <c r="N420" s="86">
        <v>460</v>
      </c>
      <c r="O420" s="123">
        <v>0</v>
      </c>
      <c r="P420" s="123"/>
      <c r="Q420" s="87"/>
      <c r="R420" s="87"/>
      <c r="S420" s="87"/>
      <c r="T420" s="87"/>
      <c r="U420" s="87"/>
      <c r="V420" s="87"/>
      <c r="W420" s="87"/>
      <c r="X420" s="93" t="s">
        <v>86</v>
      </c>
      <c r="Y420" s="87"/>
      <c r="Z420" s="87"/>
      <c r="AA420" s="87"/>
      <c r="AB420" s="87"/>
      <c r="AC420" s="8"/>
    </row>
    <row r="421" spans="1:29" ht="46.5" x14ac:dyDescent="0.35">
      <c r="A421" s="83" t="s">
        <v>218</v>
      </c>
      <c r="B421" s="83" t="s">
        <v>219</v>
      </c>
      <c r="C421" s="84" t="s">
        <v>595</v>
      </c>
      <c r="D421" s="92" t="s">
        <v>72</v>
      </c>
      <c r="E421" s="84"/>
      <c r="F421" s="92" t="s">
        <v>72</v>
      </c>
      <c r="G421" s="84"/>
      <c r="H421" s="83" t="s">
        <v>596</v>
      </c>
      <c r="I421" s="84" t="s">
        <v>222</v>
      </c>
      <c r="J421" s="83" t="s">
        <v>597</v>
      </c>
      <c r="K421" s="83" t="s">
        <v>75</v>
      </c>
      <c r="L421" s="83"/>
      <c r="M421" s="83"/>
      <c r="N421" s="86">
        <v>1700</v>
      </c>
      <c r="O421" s="86">
        <v>2125</v>
      </c>
      <c r="P421" s="86"/>
      <c r="Q421" s="87"/>
      <c r="R421" s="87"/>
      <c r="S421" s="87"/>
      <c r="T421" s="87"/>
      <c r="U421" s="87"/>
      <c r="V421" s="87"/>
      <c r="W421" s="87"/>
      <c r="X421" s="78" t="s">
        <v>72</v>
      </c>
      <c r="Y421" s="87"/>
      <c r="Z421" s="87"/>
      <c r="AA421" s="87"/>
      <c r="AB421" s="87"/>
      <c r="AC421" s="8"/>
    </row>
    <row r="422" spans="1:29" ht="46.5" x14ac:dyDescent="0.35">
      <c r="A422" s="83" t="s">
        <v>218</v>
      </c>
      <c r="B422" s="83" t="s">
        <v>219</v>
      </c>
      <c r="C422" s="136" t="s">
        <v>598</v>
      </c>
      <c r="D422" s="136"/>
      <c r="E422" s="155" t="s">
        <v>114</v>
      </c>
      <c r="F422" s="136"/>
      <c r="G422" s="136"/>
      <c r="H422" s="83" t="s">
        <v>599</v>
      </c>
      <c r="I422" s="136" t="s">
        <v>222</v>
      </c>
      <c r="J422" s="83" t="s">
        <v>600</v>
      </c>
      <c r="K422" s="156" t="s">
        <v>75</v>
      </c>
      <c r="L422" s="156"/>
      <c r="M422" s="156"/>
      <c r="N422" s="128">
        <v>1170</v>
      </c>
      <c r="O422" s="128">
        <v>1170</v>
      </c>
      <c r="P422" s="157"/>
      <c r="Q422" s="130"/>
      <c r="R422" s="93" t="s">
        <v>45</v>
      </c>
      <c r="S422" s="87"/>
      <c r="T422" s="87"/>
      <c r="U422" s="87"/>
      <c r="V422" s="87"/>
      <c r="W422" s="87"/>
      <c r="X422" s="93" t="s">
        <v>86</v>
      </c>
      <c r="Y422" s="87"/>
      <c r="Z422" s="87"/>
      <c r="AA422" s="87"/>
      <c r="AB422" s="87"/>
      <c r="AC422" s="8"/>
    </row>
    <row r="423" spans="1:29" ht="46.5" x14ac:dyDescent="0.35">
      <c r="A423" s="83" t="s">
        <v>218</v>
      </c>
      <c r="B423" s="83" t="s">
        <v>219</v>
      </c>
      <c r="C423" s="84" t="s">
        <v>601</v>
      </c>
      <c r="D423" s="92" t="s">
        <v>72</v>
      </c>
      <c r="E423" s="84"/>
      <c r="F423" s="84"/>
      <c r="G423" s="84"/>
      <c r="H423" s="83" t="s">
        <v>602</v>
      </c>
      <c r="I423" s="84" t="s">
        <v>222</v>
      </c>
      <c r="J423" s="133" t="s">
        <v>375</v>
      </c>
      <c r="K423" s="83" t="s">
        <v>75</v>
      </c>
      <c r="L423" s="83"/>
      <c r="M423" s="127" t="s">
        <v>376</v>
      </c>
      <c r="N423" s="134" t="s">
        <v>472</v>
      </c>
      <c r="O423" s="134" t="s">
        <v>472</v>
      </c>
      <c r="P423" s="135"/>
      <c r="Q423" s="130"/>
      <c r="R423" s="87"/>
      <c r="S423" s="87"/>
      <c r="T423" s="87"/>
      <c r="U423" s="87"/>
      <c r="V423" s="87"/>
      <c r="W423" s="87"/>
      <c r="X423" s="93" t="s">
        <v>86</v>
      </c>
      <c r="Y423" s="87"/>
      <c r="Z423" s="87"/>
      <c r="AA423" s="87"/>
      <c r="AB423" s="87"/>
      <c r="AC423" s="8"/>
    </row>
    <row r="424" spans="1:29" ht="46.5" x14ac:dyDescent="0.35">
      <c r="A424" s="83" t="s">
        <v>218</v>
      </c>
      <c r="B424" s="83" t="s">
        <v>219</v>
      </c>
      <c r="C424" s="84" t="s">
        <v>603</v>
      </c>
      <c r="D424" s="92" t="s">
        <v>72</v>
      </c>
      <c r="E424" s="84"/>
      <c r="F424" s="92" t="s">
        <v>72</v>
      </c>
      <c r="G424" s="84"/>
      <c r="H424" s="83" t="s">
        <v>604</v>
      </c>
      <c r="I424" s="84" t="s">
        <v>222</v>
      </c>
      <c r="J424" s="83" t="s">
        <v>118</v>
      </c>
      <c r="K424" s="107" t="s">
        <v>75</v>
      </c>
      <c r="L424" s="107"/>
      <c r="M424" s="83" t="s">
        <v>119</v>
      </c>
      <c r="N424" s="86" t="s">
        <v>120</v>
      </c>
      <c r="O424" s="86" t="s">
        <v>120</v>
      </c>
      <c r="P424" s="86"/>
      <c r="Q424" s="87"/>
      <c r="R424" s="93" t="s">
        <v>86</v>
      </c>
      <c r="S424" s="87"/>
      <c r="T424" s="87"/>
      <c r="U424" s="87"/>
      <c r="V424" s="87"/>
      <c r="W424" s="87"/>
      <c r="X424" s="93" t="s">
        <v>45</v>
      </c>
      <c r="Y424" s="87"/>
      <c r="Z424" s="87"/>
      <c r="AA424" s="87"/>
      <c r="AB424" s="87"/>
      <c r="AC424" s="8"/>
    </row>
    <row r="425" spans="1:29" ht="46.5" x14ac:dyDescent="0.35">
      <c r="A425" s="83" t="s">
        <v>218</v>
      </c>
      <c r="B425" s="83" t="s">
        <v>219</v>
      </c>
      <c r="C425" s="84" t="s">
        <v>605</v>
      </c>
      <c r="D425" s="84"/>
      <c r="E425" s="98" t="s">
        <v>72</v>
      </c>
      <c r="F425" s="84"/>
      <c r="G425" s="84"/>
      <c r="H425" s="83" t="s">
        <v>606</v>
      </c>
      <c r="I425" s="84" t="s">
        <v>222</v>
      </c>
      <c r="J425" s="83" t="s">
        <v>607</v>
      </c>
      <c r="K425" s="83" t="s">
        <v>75</v>
      </c>
      <c r="L425" s="83"/>
      <c r="M425" s="83"/>
      <c r="N425" s="140" t="s">
        <v>83</v>
      </c>
      <c r="O425" s="158">
        <v>750</v>
      </c>
      <c r="P425" s="91"/>
      <c r="Q425" s="87"/>
      <c r="R425" s="87"/>
      <c r="S425" s="87"/>
      <c r="T425" s="87"/>
      <c r="U425" s="87"/>
      <c r="V425" s="183" t="s">
        <v>72</v>
      </c>
      <c r="W425" s="87"/>
      <c r="X425" s="87"/>
      <c r="Y425" s="87"/>
      <c r="Z425" s="87"/>
      <c r="AA425" s="87"/>
      <c r="AB425" s="87"/>
      <c r="AC425" s="8"/>
    </row>
    <row r="426" spans="1:29" ht="46.5" x14ac:dyDescent="0.35">
      <c r="A426" s="83" t="s">
        <v>218</v>
      </c>
      <c r="B426" s="83" t="s">
        <v>219</v>
      </c>
      <c r="C426" s="84" t="s">
        <v>608</v>
      </c>
      <c r="D426" s="84"/>
      <c r="E426" s="98" t="s">
        <v>72</v>
      </c>
      <c r="F426" s="84"/>
      <c r="G426" s="84"/>
      <c r="H426" s="83" t="s">
        <v>609</v>
      </c>
      <c r="I426" s="84" t="s">
        <v>222</v>
      </c>
      <c r="J426" s="83" t="s">
        <v>43</v>
      </c>
      <c r="K426" s="83" t="s">
        <v>43</v>
      </c>
      <c r="L426" s="83"/>
      <c r="M426" s="83" t="s">
        <v>44</v>
      </c>
      <c r="N426" s="86">
        <v>372.24</v>
      </c>
      <c r="O426" s="86">
        <v>960</v>
      </c>
      <c r="P426" s="86"/>
      <c r="Q426" s="87"/>
      <c r="R426" s="87"/>
      <c r="S426" s="87"/>
      <c r="T426" s="87"/>
      <c r="U426" s="87"/>
      <c r="V426" s="87"/>
      <c r="W426" s="78" t="s">
        <v>72</v>
      </c>
      <c r="X426" s="87"/>
      <c r="Y426" s="87"/>
      <c r="Z426" s="87"/>
      <c r="AA426" s="87"/>
      <c r="AB426" s="87"/>
      <c r="AC426" s="8"/>
    </row>
    <row r="427" spans="1:29" ht="46.5" x14ac:dyDescent="0.35">
      <c r="A427" s="83" t="s">
        <v>218</v>
      </c>
      <c r="B427" s="83" t="s">
        <v>219</v>
      </c>
      <c r="C427" s="84" t="s">
        <v>610</v>
      </c>
      <c r="D427" s="92" t="s">
        <v>114</v>
      </c>
      <c r="E427" s="84"/>
      <c r="F427" s="84"/>
      <c r="G427" s="84"/>
      <c r="H427" s="83" t="s">
        <v>611</v>
      </c>
      <c r="I427" s="84" t="s">
        <v>222</v>
      </c>
      <c r="J427" s="83" t="s">
        <v>43</v>
      </c>
      <c r="K427" s="83" t="s">
        <v>43</v>
      </c>
      <c r="L427" s="118"/>
      <c r="M427" s="83" t="s">
        <v>44</v>
      </c>
      <c r="N427" s="124">
        <v>183</v>
      </c>
      <c r="O427" s="124" t="s">
        <v>612</v>
      </c>
      <c r="P427" s="124"/>
      <c r="Q427" s="87"/>
      <c r="R427" s="87"/>
      <c r="S427" s="93" t="s">
        <v>86</v>
      </c>
      <c r="T427" s="87"/>
      <c r="U427" s="87"/>
      <c r="V427" s="87"/>
      <c r="W427" s="87"/>
      <c r="X427" s="87"/>
      <c r="Y427" s="93" t="s">
        <v>45</v>
      </c>
      <c r="Z427" s="87"/>
      <c r="AA427" s="87"/>
      <c r="AB427" s="87"/>
      <c r="AC427" s="8"/>
    </row>
    <row r="428" spans="1:29" ht="46.5" x14ac:dyDescent="0.35">
      <c r="A428" s="83" t="s">
        <v>218</v>
      </c>
      <c r="B428" s="83" t="s">
        <v>219</v>
      </c>
      <c r="C428" s="84" t="s">
        <v>613</v>
      </c>
      <c r="D428" s="84"/>
      <c r="E428" s="98" t="s">
        <v>114</v>
      </c>
      <c r="F428" s="84"/>
      <c r="G428" s="98" t="s">
        <v>72</v>
      </c>
      <c r="H428" s="83" t="s">
        <v>614</v>
      </c>
      <c r="I428" s="84" t="s">
        <v>222</v>
      </c>
      <c r="J428" s="83" t="s">
        <v>43</v>
      </c>
      <c r="K428" s="83" t="s">
        <v>43</v>
      </c>
      <c r="L428" s="83"/>
      <c r="M428" s="83" t="s">
        <v>44</v>
      </c>
      <c r="N428" s="123" t="s">
        <v>615</v>
      </c>
      <c r="O428" s="123" t="s">
        <v>615</v>
      </c>
      <c r="P428" s="123"/>
      <c r="Q428" s="87"/>
      <c r="R428" s="93" t="s">
        <v>45</v>
      </c>
      <c r="S428" s="87"/>
      <c r="T428" s="87"/>
      <c r="U428" s="87"/>
      <c r="V428" s="87"/>
      <c r="W428" s="87"/>
      <c r="X428" s="78" t="s">
        <v>72</v>
      </c>
      <c r="Y428" s="87"/>
      <c r="Z428" s="87"/>
      <c r="AA428" s="87"/>
      <c r="AB428" s="87"/>
      <c r="AC428" s="8"/>
    </row>
    <row r="429" spans="1:29" ht="46.5" x14ac:dyDescent="0.35">
      <c r="A429" s="83" t="s">
        <v>218</v>
      </c>
      <c r="B429" s="83" t="s">
        <v>219</v>
      </c>
      <c r="C429" s="84" t="s">
        <v>616</v>
      </c>
      <c r="D429" s="84"/>
      <c r="E429" s="98" t="s">
        <v>72</v>
      </c>
      <c r="F429" s="84"/>
      <c r="G429" s="84"/>
      <c r="H429" s="83" t="s">
        <v>617</v>
      </c>
      <c r="I429" s="84" t="s">
        <v>222</v>
      </c>
      <c r="J429" s="83" t="s">
        <v>43</v>
      </c>
      <c r="K429" s="83" t="s">
        <v>43</v>
      </c>
      <c r="L429" s="118"/>
      <c r="M429" s="83" t="s">
        <v>44</v>
      </c>
      <c r="N429" s="124">
        <v>183</v>
      </c>
      <c r="O429" s="124">
        <v>480</v>
      </c>
      <c r="P429" s="124"/>
      <c r="Q429" s="87"/>
      <c r="R429" s="87"/>
      <c r="S429" s="87"/>
      <c r="T429" s="87"/>
      <c r="U429" s="87"/>
      <c r="V429" s="87"/>
      <c r="W429" s="87"/>
      <c r="X429" s="87"/>
      <c r="Y429" s="93" t="s">
        <v>86</v>
      </c>
      <c r="Z429" s="87"/>
      <c r="AA429" s="87"/>
      <c r="AB429" s="87"/>
      <c r="AC429" s="8"/>
    </row>
    <row r="430" spans="1:29" ht="46.5" x14ac:dyDescent="0.35">
      <c r="A430" s="83" t="s">
        <v>218</v>
      </c>
      <c r="B430" s="83" t="s">
        <v>219</v>
      </c>
      <c r="C430" s="84" t="s">
        <v>618</v>
      </c>
      <c r="D430" s="92" t="s">
        <v>72</v>
      </c>
      <c r="E430" s="84"/>
      <c r="F430" s="84"/>
      <c r="G430" s="84"/>
      <c r="H430" s="83" t="s">
        <v>619</v>
      </c>
      <c r="I430" s="84" t="s">
        <v>222</v>
      </c>
      <c r="J430" s="83" t="s">
        <v>43</v>
      </c>
      <c r="K430" s="83" t="s">
        <v>43</v>
      </c>
      <c r="L430" s="83"/>
      <c r="M430" s="83" t="s">
        <v>44</v>
      </c>
      <c r="N430" s="86">
        <v>372.24</v>
      </c>
      <c r="O430" s="120">
        <v>420</v>
      </c>
      <c r="P430" s="120"/>
      <c r="Q430" s="87"/>
      <c r="R430" s="87"/>
      <c r="S430" s="87"/>
      <c r="T430" s="87"/>
      <c r="U430" s="87"/>
      <c r="V430" s="87"/>
      <c r="W430" s="78" t="s">
        <v>72</v>
      </c>
      <c r="X430" s="87"/>
      <c r="Y430" s="87"/>
      <c r="Z430" s="87"/>
      <c r="AA430" s="87"/>
      <c r="AB430" s="87"/>
      <c r="AC430" s="8"/>
    </row>
    <row r="431" spans="1:29" ht="77.5" x14ac:dyDescent="0.35">
      <c r="A431" s="159" t="s">
        <v>218</v>
      </c>
      <c r="B431" s="159" t="s">
        <v>219</v>
      </c>
      <c r="C431" s="160" t="s">
        <v>620</v>
      </c>
      <c r="D431" s="161" t="s">
        <v>40</v>
      </c>
      <c r="E431" s="160"/>
      <c r="F431" s="160"/>
      <c r="G431" s="160"/>
      <c r="H431" s="159" t="s">
        <v>621</v>
      </c>
      <c r="I431" s="160" t="s">
        <v>129</v>
      </c>
      <c r="J431" s="159" t="s">
        <v>130</v>
      </c>
      <c r="K431" s="118" t="s">
        <v>75</v>
      </c>
      <c r="L431" s="118"/>
      <c r="M431" s="102" t="s">
        <v>131</v>
      </c>
      <c r="N431" s="104">
        <v>38965</v>
      </c>
      <c r="O431" s="104">
        <v>40913.25</v>
      </c>
      <c r="P431" s="104"/>
      <c r="Q431" s="87"/>
      <c r="R431" s="191" t="s">
        <v>45</v>
      </c>
      <c r="S431" s="141"/>
      <c r="T431" s="141"/>
      <c r="U431" s="99"/>
      <c r="V431" s="99"/>
      <c r="W431" s="99"/>
      <c r="X431" s="205" t="s">
        <v>45</v>
      </c>
      <c r="Y431" s="99"/>
      <c r="Z431" s="99"/>
      <c r="AA431" s="99"/>
      <c r="AB431" s="99"/>
      <c r="AC431" s="10"/>
    </row>
    <row r="432" spans="1:29" ht="46.5" x14ac:dyDescent="0.35">
      <c r="A432" s="162" t="s">
        <v>218</v>
      </c>
      <c r="B432" s="107" t="s">
        <v>622</v>
      </c>
      <c r="C432" s="105" t="s">
        <v>623</v>
      </c>
      <c r="D432" s="163" t="s">
        <v>72</v>
      </c>
      <c r="E432" s="105"/>
      <c r="F432" s="105"/>
      <c r="G432" s="105"/>
      <c r="H432" s="192" t="s">
        <v>221</v>
      </c>
      <c r="I432" s="105" t="s">
        <v>624</v>
      </c>
      <c r="J432" s="72" t="s">
        <v>223</v>
      </c>
      <c r="K432" s="88" t="s">
        <v>75</v>
      </c>
      <c r="L432" s="164" t="s">
        <v>66</v>
      </c>
      <c r="M432" s="72" t="s">
        <v>67</v>
      </c>
      <c r="N432" s="111">
        <v>0</v>
      </c>
      <c r="O432" s="111">
        <v>0</v>
      </c>
      <c r="P432" s="111"/>
      <c r="Q432" s="185"/>
      <c r="R432" s="145"/>
      <c r="S432" s="145"/>
      <c r="T432" s="145"/>
      <c r="U432" s="187"/>
      <c r="V432" s="77"/>
      <c r="W432" s="77"/>
      <c r="X432" s="230"/>
      <c r="Y432" s="77"/>
      <c r="Z432" s="77"/>
      <c r="AA432" s="77"/>
      <c r="AB432" s="77"/>
      <c r="AC432" s="7"/>
    </row>
    <row r="433" spans="1:29" s="2" customFormat="1" ht="31" x14ac:dyDescent="0.35">
      <c r="A433" s="79" t="s">
        <v>218</v>
      </c>
      <c r="B433" s="80" t="s">
        <v>622</v>
      </c>
      <c r="C433" s="80" t="s">
        <v>623</v>
      </c>
      <c r="D433" s="80"/>
      <c r="E433" s="80"/>
      <c r="F433" s="80"/>
      <c r="G433" s="80"/>
      <c r="H433" s="80" t="s">
        <v>625</v>
      </c>
      <c r="I433" s="80"/>
      <c r="J433" s="80"/>
      <c r="K433" s="80"/>
      <c r="L433" s="80"/>
      <c r="M433" s="80"/>
      <c r="N433" s="80"/>
      <c r="O433" s="81"/>
      <c r="P433" s="81"/>
      <c r="Q433" s="82"/>
      <c r="R433" s="189"/>
      <c r="S433" s="189"/>
      <c r="T433" s="189"/>
      <c r="U433" s="82"/>
      <c r="V433" s="82"/>
      <c r="W433" s="82"/>
      <c r="X433" s="82"/>
      <c r="Y433" s="82"/>
      <c r="Z433" s="82"/>
      <c r="AA433" s="82"/>
      <c r="AB433" s="82"/>
      <c r="AC433" s="3"/>
    </row>
    <row r="434" spans="1:29" s="2" customFormat="1" ht="31" x14ac:dyDescent="0.35">
      <c r="A434" s="79" t="s">
        <v>218</v>
      </c>
      <c r="B434" s="80" t="s">
        <v>622</v>
      </c>
      <c r="C434" s="80" t="s">
        <v>623</v>
      </c>
      <c r="D434" s="80"/>
      <c r="E434" s="80"/>
      <c r="F434" s="80"/>
      <c r="G434" s="80"/>
      <c r="H434" s="80" t="s">
        <v>626</v>
      </c>
      <c r="I434" s="80"/>
      <c r="J434" s="80"/>
      <c r="K434" s="80"/>
      <c r="L434" s="80"/>
      <c r="M434" s="80"/>
      <c r="N434" s="80"/>
      <c r="O434" s="81"/>
      <c r="P434" s="81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3"/>
    </row>
    <row r="435" spans="1:29" s="2" customFormat="1" ht="31" x14ac:dyDescent="0.35">
      <c r="A435" s="79" t="s">
        <v>218</v>
      </c>
      <c r="B435" s="80" t="s">
        <v>622</v>
      </c>
      <c r="C435" s="80" t="s">
        <v>623</v>
      </c>
      <c r="D435" s="80"/>
      <c r="E435" s="80"/>
      <c r="F435" s="80"/>
      <c r="G435" s="80"/>
      <c r="H435" s="80" t="s">
        <v>627</v>
      </c>
      <c r="I435" s="80"/>
      <c r="J435" s="80"/>
      <c r="K435" s="80"/>
      <c r="L435" s="80"/>
      <c r="M435" s="80"/>
      <c r="N435" s="80"/>
      <c r="O435" s="81"/>
      <c r="P435" s="81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3"/>
    </row>
    <row r="436" spans="1:29" s="2" customFormat="1" ht="31" x14ac:dyDescent="0.35">
      <c r="A436" s="79" t="s">
        <v>218</v>
      </c>
      <c r="B436" s="80" t="s">
        <v>622</v>
      </c>
      <c r="C436" s="80" t="s">
        <v>623</v>
      </c>
      <c r="D436" s="80"/>
      <c r="E436" s="80"/>
      <c r="F436" s="80"/>
      <c r="G436" s="80"/>
      <c r="H436" s="80" t="s">
        <v>628</v>
      </c>
      <c r="I436" s="80"/>
      <c r="J436" s="80"/>
      <c r="K436" s="80"/>
      <c r="L436" s="80"/>
      <c r="M436" s="80"/>
      <c r="N436" s="80"/>
      <c r="O436" s="81"/>
      <c r="P436" s="81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3"/>
    </row>
    <row r="437" spans="1:29" s="2" customFormat="1" ht="31" x14ac:dyDescent="0.35">
      <c r="A437" s="79" t="s">
        <v>218</v>
      </c>
      <c r="B437" s="80" t="s">
        <v>622</v>
      </c>
      <c r="C437" s="80" t="s">
        <v>623</v>
      </c>
      <c r="D437" s="80"/>
      <c r="E437" s="80"/>
      <c r="F437" s="80"/>
      <c r="G437" s="80"/>
      <c r="H437" s="80" t="s">
        <v>629</v>
      </c>
      <c r="I437" s="80"/>
      <c r="J437" s="80"/>
      <c r="K437" s="80"/>
      <c r="L437" s="80"/>
      <c r="M437" s="80"/>
      <c r="N437" s="80"/>
      <c r="O437" s="81"/>
      <c r="P437" s="81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3"/>
    </row>
    <row r="438" spans="1:29" s="2" customFormat="1" ht="31" x14ac:dyDescent="0.35">
      <c r="A438" s="79" t="s">
        <v>218</v>
      </c>
      <c r="B438" s="80" t="s">
        <v>622</v>
      </c>
      <c r="C438" s="80" t="s">
        <v>623</v>
      </c>
      <c r="D438" s="80"/>
      <c r="E438" s="80"/>
      <c r="F438" s="80"/>
      <c r="G438" s="80"/>
      <c r="H438" s="80" t="s">
        <v>630</v>
      </c>
      <c r="I438" s="80"/>
      <c r="J438" s="80"/>
      <c r="K438" s="80"/>
      <c r="L438" s="80"/>
      <c r="M438" s="80"/>
      <c r="N438" s="80"/>
      <c r="O438" s="81"/>
      <c r="P438" s="81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3"/>
    </row>
    <row r="439" spans="1:29" s="2" customFormat="1" ht="31" x14ac:dyDescent="0.35">
      <c r="A439" s="79" t="s">
        <v>218</v>
      </c>
      <c r="B439" s="80" t="s">
        <v>622</v>
      </c>
      <c r="C439" s="80" t="s">
        <v>623</v>
      </c>
      <c r="D439" s="80"/>
      <c r="E439" s="80"/>
      <c r="F439" s="80"/>
      <c r="G439" s="80"/>
      <c r="H439" s="80" t="s">
        <v>631</v>
      </c>
      <c r="I439" s="80"/>
      <c r="J439" s="80"/>
      <c r="K439" s="80"/>
      <c r="L439" s="80"/>
      <c r="M439" s="80"/>
      <c r="N439" s="80"/>
      <c r="O439" s="81"/>
      <c r="P439" s="81"/>
      <c r="Q439" s="82"/>
      <c r="R439" s="188"/>
      <c r="S439" s="188"/>
      <c r="T439" s="188"/>
      <c r="U439" s="82"/>
      <c r="V439" s="82"/>
      <c r="W439" s="82"/>
      <c r="X439" s="82"/>
      <c r="Y439" s="82"/>
      <c r="Z439" s="82"/>
      <c r="AA439" s="82"/>
      <c r="AB439" s="82"/>
      <c r="AC439" s="3"/>
    </row>
    <row r="440" spans="1:29" ht="46.5" x14ac:dyDescent="0.35">
      <c r="A440" s="165" t="s">
        <v>218</v>
      </c>
      <c r="B440" s="83" t="s">
        <v>622</v>
      </c>
      <c r="C440" s="84" t="s">
        <v>238</v>
      </c>
      <c r="D440" s="89" t="s">
        <v>72</v>
      </c>
      <c r="E440" s="84"/>
      <c r="F440" s="84"/>
      <c r="G440" s="84"/>
      <c r="H440" s="83" t="s">
        <v>137</v>
      </c>
      <c r="I440" s="84" t="s">
        <v>624</v>
      </c>
      <c r="J440" s="83" t="s">
        <v>43</v>
      </c>
      <c r="K440" s="83" t="s">
        <v>43</v>
      </c>
      <c r="L440" s="83"/>
      <c r="M440" s="83" t="s">
        <v>44</v>
      </c>
      <c r="N440" s="86">
        <v>372.24</v>
      </c>
      <c r="O440" s="86">
        <v>360</v>
      </c>
      <c r="P440" s="86"/>
      <c r="Q440" s="186"/>
      <c r="R440" s="145"/>
      <c r="S440" s="145"/>
      <c r="T440" s="145"/>
      <c r="U440" s="130"/>
      <c r="V440" s="87"/>
      <c r="W440" s="78" t="s">
        <v>72</v>
      </c>
      <c r="X440" s="87"/>
      <c r="Y440" s="87"/>
      <c r="Z440" s="87"/>
      <c r="AA440" s="87"/>
      <c r="AB440" s="87"/>
      <c r="AC440" s="8"/>
    </row>
    <row r="441" spans="1:29" s="2" customFormat="1" ht="31" x14ac:dyDescent="0.35">
      <c r="A441" s="79" t="s">
        <v>218</v>
      </c>
      <c r="B441" s="80" t="s">
        <v>622</v>
      </c>
      <c r="C441" s="80" t="s">
        <v>238</v>
      </c>
      <c r="D441" s="80"/>
      <c r="E441" s="80"/>
      <c r="F441" s="80"/>
      <c r="G441" s="80"/>
      <c r="H441" s="80" t="s">
        <v>632</v>
      </c>
      <c r="I441" s="80"/>
      <c r="J441" s="80"/>
      <c r="K441" s="80"/>
      <c r="L441" s="80"/>
      <c r="M441" s="80"/>
      <c r="N441" s="80"/>
      <c r="O441" s="81"/>
      <c r="P441" s="81"/>
      <c r="Q441" s="82"/>
      <c r="R441" s="189"/>
      <c r="S441" s="189"/>
      <c r="T441" s="189"/>
      <c r="U441" s="82"/>
      <c r="V441" s="82"/>
      <c r="W441" s="82"/>
      <c r="X441" s="82"/>
      <c r="Y441" s="82"/>
      <c r="Z441" s="82"/>
      <c r="AA441" s="82"/>
      <c r="AB441" s="82"/>
      <c r="AC441" s="3"/>
    </row>
    <row r="442" spans="1:29" s="2" customFormat="1" ht="31" x14ac:dyDescent="0.35">
      <c r="A442" s="79" t="s">
        <v>218</v>
      </c>
      <c r="B442" s="80" t="s">
        <v>622</v>
      </c>
      <c r="C442" s="80" t="s">
        <v>238</v>
      </c>
      <c r="D442" s="80"/>
      <c r="E442" s="80"/>
      <c r="F442" s="80"/>
      <c r="G442" s="80"/>
      <c r="H442" s="80" t="s">
        <v>633</v>
      </c>
      <c r="I442" s="80"/>
      <c r="J442" s="80"/>
      <c r="K442" s="80"/>
      <c r="L442" s="80"/>
      <c r="M442" s="80"/>
      <c r="N442" s="80"/>
      <c r="O442" s="81"/>
      <c r="P442" s="81"/>
      <c r="Q442" s="82"/>
      <c r="R442" s="188"/>
      <c r="S442" s="188"/>
      <c r="T442" s="188"/>
      <c r="U442" s="82"/>
      <c r="V442" s="82"/>
      <c r="W442" s="82"/>
      <c r="X442" s="82"/>
      <c r="Y442" s="82"/>
      <c r="Z442" s="82"/>
      <c r="AA442" s="82"/>
      <c r="AB442" s="82"/>
      <c r="AC442" s="3"/>
    </row>
    <row r="443" spans="1:29" ht="46.5" x14ac:dyDescent="0.35">
      <c r="A443" s="165" t="s">
        <v>218</v>
      </c>
      <c r="B443" s="83" t="s">
        <v>622</v>
      </c>
      <c r="C443" s="84" t="s">
        <v>238</v>
      </c>
      <c r="D443" s="89" t="s">
        <v>72</v>
      </c>
      <c r="E443" s="84"/>
      <c r="F443" s="84"/>
      <c r="G443" s="84"/>
      <c r="H443" s="83" t="s">
        <v>634</v>
      </c>
      <c r="I443" s="84" t="s">
        <v>624</v>
      </c>
      <c r="J443" s="83" t="s">
        <v>43</v>
      </c>
      <c r="K443" s="83" t="s">
        <v>43</v>
      </c>
      <c r="L443" s="83"/>
      <c r="M443" s="83" t="s">
        <v>44</v>
      </c>
      <c r="N443" s="86">
        <v>772.24</v>
      </c>
      <c r="O443" s="86">
        <v>960</v>
      </c>
      <c r="P443" s="86"/>
      <c r="Q443" s="186"/>
      <c r="R443" s="145"/>
      <c r="S443" s="145"/>
      <c r="T443" s="145"/>
      <c r="U443" s="130"/>
      <c r="V443" s="87"/>
      <c r="W443" s="78" t="s">
        <v>72</v>
      </c>
      <c r="X443" s="87"/>
      <c r="Y443" s="87"/>
      <c r="Z443" s="87"/>
      <c r="AA443" s="87"/>
      <c r="AB443" s="87"/>
      <c r="AC443" s="8"/>
    </row>
    <row r="444" spans="1:29" s="2" customFormat="1" ht="31" x14ac:dyDescent="0.35">
      <c r="A444" s="79" t="s">
        <v>218</v>
      </c>
      <c r="B444" s="80" t="s">
        <v>622</v>
      </c>
      <c r="C444" s="80" t="s">
        <v>238</v>
      </c>
      <c r="D444" s="80"/>
      <c r="E444" s="80"/>
      <c r="F444" s="80"/>
      <c r="G444" s="80"/>
      <c r="H444" s="80" t="s">
        <v>635</v>
      </c>
      <c r="I444" s="80"/>
      <c r="J444" s="80"/>
      <c r="K444" s="80"/>
      <c r="L444" s="80"/>
      <c r="M444" s="80"/>
      <c r="N444" s="80"/>
      <c r="O444" s="81"/>
      <c r="P444" s="81"/>
      <c r="Q444" s="82"/>
      <c r="R444" s="189"/>
      <c r="S444" s="189"/>
      <c r="T444" s="189"/>
      <c r="U444" s="82"/>
      <c r="V444" s="82"/>
      <c r="W444" s="82"/>
      <c r="X444" s="82"/>
      <c r="Y444" s="82"/>
      <c r="Z444" s="82"/>
      <c r="AA444" s="82"/>
      <c r="AB444" s="82"/>
      <c r="AC444" s="3"/>
    </row>
    <row r="445" spans="1:29" s="2" customFormat="1" ht="31" x14ac:dyDescent="0.35">
      <c r="A445" s="79" t="s">
        <v>218</v>
      </c>
      <c r="B445" s="80" t="s">
        <v>622</v>
      </c>
      <c r="C445" s="80" t="s">
        <v>238</v>
      </c>
      <c r="D445" s="80"/>
      <c r="E445" s="80"/>
      <c r="F445" s="80"/>
      <c r="G445" s="80"/>
      <c r="H445" s="80" t="s">
        <v>636</v>
      </c>
      <c r="I445" s="80"/>
      <c r="J445" s="80"/>
      <c r="K445" s="80"/>
      <c r="L445" s="80"/>
      <c r="M445" s="80"/>
      <c r="N445" s="80"/>
      <c r="O445" s="81"/>
      <c r="P445" s="81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3"/>
    </row>
    <row r="446" spans="1:29" s="2" customFormat="1" ht="31" x14ac:dyDescent="0.35">
      <c r="A446" s="79" t="s">
        <v>218</v>
      </c>
      <c r="B446" s="80" t="s">
        <v>622</v>
      </c>
      <c r="C446" s="80" t="s">
        <v>238</v>
      </c>
      <c r="D446" s="80"/>
      <c r="E446" s="80"/>
      <c r="F446" s="80"/>
      <c r="G446" s="80"/>
      <c r="H446" s="80" t="s">
        <v>637</v>
      </c>
      <c r="I446" s="80"/>
      <c r="J446" s="80"/>
      <c r="K446" s="80"/>
      <c r="L446" s="80"/>
      <c r="M446" s="80"/>
      <c r="N446" s="80"/>
      <c r="O446" s="81"/>
      <c r="P446" s="81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3"/>
    </row>
    <row r="447" spans="1:29" s="2" customFormat="1" ht="31" x14ac:dyDescent="0.35">
      <c r="A447" s="79" t="s">
        <v>218</v>
      </c>
      <c r="B447" s="80" t="s">
        <v>622</v>
      </c>
      <c r="C447" s="80" t="s">
        <v>238</v>
      </c>
      <c r="D447" s="80"/>
      <c r="E447" s="80"/>
      <c r="F447" s="80"/>
      <c r="G447" s="80"/>
      <c r="H447" s="80" t="s">
        <v>638</v>
      </c>
      <c r="I447" s="80"/>
      <c r="J447" s="80"/>
      <c r="K447" s="80"/>
      <c r="L447" s="80"/>
      <c r="M447" s="80"/>
      <c r="N447" s="80"/>
      <c r="O447" s="81"/>
      <c r="P447" s="81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3"/>
    </row>
    <row r="448" spans="1:29" ht="46.5" x14ac:dyDescent="0.35">
      <c r="A448" s="165" t="s">
        <v>218</v>
      </c>
      <c r="B448" s="83" t="s">
        <v>622</v>
      </c>
      <c r="C448" s="84" t="s">
        <v>639</v>
      </c>
      <c r="D448" s="89" t="s">
        <v>114</v>
      </c>
      <c r="E448" s="84"/>
      <c r="F448" s="84"/>
      <c r="G448" s="84"/>
      <c r="H448" s="83" t="s">
        <v>300</v>
      </c>
      <c r="I448" s="84" t="s">
        <v>624</v>
      </c>
      <c r="J448" s="83" t="s">
        <v>43</v>
      </c>
      <c r="K448" s="83" t="s">
        <v>43</v>
      </c>
      <c r="L448" s="83"/>
      <c r="M448" s="83" t="s">
        <v>44</v>
      </c>
      <c r="N448" s="86" t="s">
        <v>301</v>
      </c>
      <c r="O448" s="86">
        <v>1440</v>
      </c>
      <c r="P448" s="86"/>
      <c r="Q448" s="87"/>
      <c r="R448" s="78" t="s">
        <v>40</v>
      </c>
      <c r="S448" s="87"/>
      <c r="T448" s="87"/>
      <c r="U448" s="87"/>
      <c r="V448" s="87"/>
      <c r="W448" s="87"/>
      <c r="X448" s="78" t="s">
        <v>72</v>
      </c>
      <c r="Y448" s="87"/>
      <c r="Z448" s="87"/>
      <c r="AA448" s="87"/>
      <c r="AB448" s="87"/>
      <c r="AC448" s="8"/>
    </row>
    <row r="449" spans="1:29" s="2" customFormat="1" ht="31" x14ac:dyDescent="0.35">
      <c r="A449" s="79" t="s">
        <v>218</v>
      </c>
      <c r="B449" s="80" t="s">
        <v>622</v>
      </c>
      <c r="C449" s="80" t="s">
        <v>639</v>
      </c>
      <c r="D449" s="80"/>
      <c r="E449" s="80"/>
      <c r="F449" s="80"/>
      <c r="G449" s="80"/>
      <c r="H449" s="80" t="s">
        <v>640</v>
      </c>
      <c r="I449" s="80"/>
      <c r="J449" s="80"/>
      <c r="K449" s="80"/>
      <c r="L449" s="80"/>
      <c r="M449" s="80"/>
      <c r="N449" s="80"/>
      <c r="O449" s="81"/>
      <c r="P449" s="81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3"/>
    </row>
    <row r="450" spans="1:29" s="2" customFormat="1" ht="31" x14ac:dyDescent="0.35">
      <c r="A450" s="79" t="s">
        <v>218</v>
      </c>
      <c r="B450" s="80" t="s">
        <v>622</v>
      </c>
      <c r="C450" s="80" t="s">
        <v>639</v>
      </c>
      <c r="D450" s="80"/>
      <c r="E450" s="80"/>
      <c r="F450" s="80"/>
      <c r="G450" s="80"/>
      <c r="H450" s="80" t="s">
        <v>641</v>
      </c>
      <c r="I450" s="80"/>
      <c r="J450" s="80"/>
      <c r="K450" s="80"/>
      <c r="L450" s="80"/>
      <c r="M450" s="80"/>
      <c r="N450" s="80"/>
      <c r="O450" s="81"/>
      <c r="P450" s="81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3"/>
    </row>
    <row r="451" spans="1:29" s="2" customFormat="1" ht="31" x14ac:dyDescent="0.35">
      <c r="A451" s="79" t="s">
        <v>218</v>
      </c>
      <c r="B451" s="80" t="s">
        <v>622</v>
      </c>
      <c r="C451" s="80" t="s">
        <v>642</v>
      </c>
      <c r="D451" s="80"/>
      <c r="E451" s="80"/>
      <c r="F451" s="80"/>
      <c r="G451" s="80"/>
      <c r="H451" s="80" t="s">
        <v>643</v>
      </c>
      <c r="I451" s="80"/>
      <c r="J451" s="80"/>
      <c r="K451" s="80"/>
      <c r="L451" s="80"/>
      <c r="M451" s="80"/>
      <c r="N451" s="80"/>
      <c r="O451" s="81"/>
      <c r="P451" s="81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3"/>
    </row>
    <row r="452" spans="1:29" s="2" customFormat="1" ht="31" x14ac:dyDescent="0.35">
      <c r="A452" s="79" t="s">
        <v>218</v>
      </c>
      <c r="B452" s="80" t="s">
        <v>622</v>
      </c>
      <c r="C452" s="80" t="s">
        <v>642</v>
      </c>
      <c r="D452" s="80"/>
      <c r="E452" s="80"/>
      <c r="F452" s="80"/>
      <c r="G452" s="80"/>
      <c r="H452" s="80" t="s">
        <v>644</v>
      </c>
      <c r="I452" s="80"/>
      <c r="J452" s="80"/>
      <c r="K452" s="80"/>
      <c r="L452" s="80"/>
      <c r="M452" s="80"/>
      <c r="N452" s="80"/>
      <c r="O452" s="81"/>
      <c r="P452" s="81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3"/>
    </row>
    <row r="453" spans="1:29" s="2" customFormat="1" ht="31" x14ac:dyDescent="0.35">
      <c r="A453" s="79" t="s">
        <v>218</v>
      </c>
      <c r="B453" s="80" t="s">
        <v>622</v>
      </c>
      <c r="C453" s="80" t="s">
        <v>642</v>
      </c>
      <c r="D453" s="80"/>
      <c r="E453" s="80"/>
      <c r="F453" s="80"/>
      <c r="G453" s="80"/>
      <c r="H453" s="80" t="s">
        <v>645</v>
      </c>
      <c r="I453" s="80"/>
      <c r="J453" s="80"/>
      <c r="K453" s="80"/>
      <c r="L453" s="80"/>
      <c r="M453" s="80"/>
      <c r="N453" s="80"/>
      <c r="O453" s="81"/>
      <c r="P453" s="81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3"/>
    </row>
    <row r="454" spans="1:29" s="2" customFormat="1" ht="31" x14ac:dyDescent="0.35">
      <c r="A454" s="79" t="s">
        <v>218</v>
      </c>
      <c r="B454" s="80" t="s">
        <v>622</v>
      </c>
      <c r="C454" s="80" t="s">
        <v>642</v>
      </c>
      <c r="D454" s="80"/>
      <c r="E454" s="80"/>
      <c r="F454" s="80"/>
      <c r="G454" s="80"/>
      <c r="H454" s="80" t="s">
        <v>646</v>
      </c>
      <c r="I454" s="80"/>
      <c r="J454" s="80"/>
      <c r="K454" s="80"/>
      <c r="L454" s="80"/>
      <c r="M454" s="80"/>
      <c r="N454" s="80"/>
      <c r="O454" s="81"/>
      <c r="P454" s="81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3"/>
    </row>
    <row r="455" spans="1:29" s="2" customFormat="1" ht="31" x14ac:dyDescent="0.35">
      <c r="A455" s="79" t="s">
        <v>218</v>
      </c>
      <c r="B455" s="80" t="s">
        <v>622</v>
      </c>
      <c r="C455" s="80" t="s">
        <v>642</v>
      </c>
      <c r="D455" s="80"/>
      <c r="E455" s="80"/>
      <c r="F455" s="80"/>
      <c r="G455" s="80"/>
      <c r="H455" s="80" t="s">
        <v>647</v>
      </c>
      <c r="I455" s="80"/>
      <c r="J455" s="80"/>
      <c r="K455" s="80"/>
      <c r="L455" s="80"/>
      <c r="M455" s="80"/>
      <c r="N455" s="80"/>
      <c r="O455" s="81"/>
      <c r="P455" s="81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3"/>
    </row>
    <row r="456" spans="1:29" s="2" customFormat="1" ht="31" x14ac:dyDescent="0.35">
      <c r="A456" s="79" t="s">
        <v>218</v>
      </c>
      <c r="B456" s="80" t="s">
        <v>622</v>
      </c>
      <c r="C456" s="80" t="s">
        <v>642</v>
      </c>
      <c r="D456" s="80"/>
      <c r="E456" s="80"/>
      <c r="F456" s="80"/>
      <c r="G456" s="80"/>
      <c r="H456" s="80" t="s">
        <v>648</v>
      </c>
      <c r="I456" s="80"/>
      <c r="J456" s="80"/>
      <c r="K456" s="80"/>
      <c r="L456" s="80"/>
      <c r="M456" s="80"/>
      <c r="N456" s="80"/>
      <c r="O456" s="81"/>
      <c r="P456" s="81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3"/>
    </row>
    <row r="457" spans="1:29" s="2" customFormat="1" ht="31" x14ac:dyDescent="0.35">
      <c r="A457" s="79" t="s">
        <v>218</v>
      </c>
      <c r="B457" s="80" t="s">
        <v>622</v>
      </c>
      <c r="C457" s="80" t="s">
        <v>642</v>
      </c>
      <c r="D457" s="80"/>
      <c r="E457" s="80"/>
      <c r="F457" s="80"/>
      <c r="G457" s="80"/>
      <c r="H457" s="80" t="s">
        <v>649</v>
      </c>
      <c r="I457" s="80"/>
      <c r="J457" s="80"/>
      <c r="K457" s="80"/>
      <c r="L457" s="80"/>
      <c r="M457" s="80"/>
      <c r="N457" s="80"/>
      <c r="O457" s="81"/>
      <c r="P457" s="81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3"/>
    </row>
    <row r="458" spans="1:29" s="2" customFormat="1" ht="31" x14ac:dyDescent="0.35">
      <c r="A458" s="79" t="s">
        <v>218</v>
      </c>
      <c r="B458" s="80" t="s">
        <v>622</v>
      </c>
      <c r="C458" s="80" t="s">
        <v>642</v>
      </c>
      <c r="D458" s="80"/>
      <c r="E458" s="80"/>
      <c r="F458" s="80"/>
      <c r="G458" s="80"/>
      <c r="H458" s="80" t="s">
        <v>650</v>
      </c>
      <c r="I458" s="80"/>
      <c r="J458" s="80"/>
      <c r="K458" s="80"/>
      <c r="L458" s="80"/>
      <c r="M458" s="80"/>
      <c r="N458" s="80"/>
      <c r="O458" s="81"/>
      <c r="P458" s="81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3"/>
    </row>
    <row r="459" spans="1:29" s="2" customFormat="1" ht="31" x14ac:dyDescent="0.35">
      <c r="A459" s="79" t="s">
        <v>218</v>
      </c>
      <c r="B459" s="80" t="s">
        <v>622</v>
      </c>
      <c r="C459" s="80" t="s">
        <v>642</v>
      </c>
      <c r="D459" s="80"/>
      <c r="E459" s="80"/>
      <c r="F459" s="80"/>
      <c r="G459" s="80"/>
      <c r="H459" s="80" t="s">
        <v>651</v>
      </c>
      <c r="I459" s="80"/>
      <c r="J459" s="80"/>
      <c r="K459" s="80"/>
      <c r="L459" s="80"/>
      <c r="M459" s="80"/>
      <c r="N459" s="80"/>
      <c r="O459" s="81"/>
      <c r="P459" s="81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3"/>
    </row>
    <row r="460" spans="1:29" s="2" customFormat="1" ht="31" x14ac:dyDescent="0.35">
      <c r="A460" s="79" t="s">
        <v>218</v>
      </c>
      <c r="B460" s="80" t="s">
        <v>622</v>
      </c>
      <c r="C460" s="80" t="s">
        <v>642</v>
      </c>
      <c r="D460" s="80"/>
      <c r="E460" s="80"/>
      <c r="F460" s="80"/>
      <c r="G460" s="80"/>
      <c r="H460" s="80" t="s">
        <v>652</v>
      </c>
      <c r="I460" s="80"/>
      <c r="J460" s="80"/>
      <c r="K460" s="80"/>
      <c r="L460" s="80"/>
      <c r="M460" s="80"/>
      <c r="N460" s="80"/>
      <c r="O460" s="81"/>
      <c r="P460" s="81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3"/>
    </row>
    <row r="461" spans="1:29" s="2" customFormat="1" ht="31" x14ac:dyDescent="0.35">
      <c r="A461" s="79" t="s">
        <v>218</v>
      </c>
      <c r="B461" s="80" t="s">
        <v>622</v>
      </c>
      <c r="C461" s="80" t="s">
        <v>642</v>
      </c>
      <c r="D461" s="80"/>
      <c r="E461" s="80"/>
      <c r="F461" s="80"/>
      <c r="G461" s="80"/>
      <c r="H461" s="80" t="s">
        <v>653</v>
      </c>
      <c r="I461" s="80"/>
      <c r="J461" s="80"/>
      <c r="K461" s="80"/>
      <c r="L461" s="80"/>
      <c r="M461" s="80"/>
      <c r="N461" s="80"/>
      <c r="O461" s="81"/>
      <c r="P461" s="81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3"/>
    </row>
    <row r="462" spans="1:29" s="2" customFormat="1" ht="31" x14ac:dyDescent="0.35">
      <c r="A462" s="79" t="s">
        <v>218</v>
      </c>
      <c r="B462" s="80" t="s">
        <v>622</v>
      </c>
      <c r="C462" s="80" t="s">
        <v>642</v>
      </c>
      <c r="D462" s="80"/>
      <c r="E462" s="80"/>
      <c r="F462" s="80"/>
      <c r="G462" s="80"/>
      <c r="H462" s="80" t="s">
        <v>654</v>
      </c>
      <c r="I462" s="80"/>
      <c r="J462" s="80"/>
      <c r="K462" s="80"/>
      <c r="L462" s="80"/>
      <c r="M462" s="80"/>
      <c r="N462" s="80"/>
      <c r="O462" s="81"/>
      <c r="P462" s="81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3"/>
    </row>
    <row r="463" spans="1:29" s="2" customFormat="1" ht="31" x14ac:dyDescent="0.35">
      <c r="A463" s="79" t="s">
        <v>218</v>
      </c>
      <c r="B463" s="80" t="s">
        <v>622</v>
      </c>
      <c r="C463" s="80" t="s">
        <v>642</v>
      </c>
      <c r="D463" s="80"/>
      <c r="E463" s="80"/>
      <c r="F463" s="80"/>
      <c r="G463" s="80"/>
      <c r="H463" s="80" t="s">
        <v>655</v>
      </c>
      <c r="I463" s="80"/>
      <c r="J463" s="80"/>
      <c r="K463" s="80"/>
      <c r="L463" s="80"/>
      <c r="M463" s="80"/>
      <c r="N463" s="125"/>
      <c r="O463" s="126"/>
      <c r="P463" s="126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3"/>
    </row>
    <row r="464" spans="1:29" ht="46.5" x14ac:dyDescent="0.35">
      <c r="A464" s="165" t="s">
        <v>218</v>
      </c>
      <c r="B464" s="83" t="s">
        <v>622</v>
      </c>
      <c r="C464" s="84" t="s">
        <v>656</v>
      </c>
      <c r="D464" s="84"/>
      <c r="E464" s="85" t="s">
        <v>40</v>
      </c>
      <c r="F464" s="84"/>
      <c r="G464" s="85" t="s">
        <v>40</v>
      </c>
      <c r="H464" s="83" t="s">
        <v>50</v>
      </c>
      <c r="I464" s="84" t="s">
        <v>624</v>
      </c>
      <c r="J464" s="83" t="s">
        <v>43</v>
      </c>
      <c r="K464" s="83" t="s">
        <v>43</v>
      </c>
      <c r="L464" s="83"/>
      <c r="M464" s="133" t="s">
        <v>44</v>
      </c>
      <c r="N464" s="264" t="s">
        <v>301</v>
      </c>
      <c r="O464" s="264">
        <v>480</v>
      </c>
      <c r="P464" s="264"/>
      <c r="Q464" s="130"/>
      <c r="R464" s="78" t="s">
        <v>40</v>
      </c>
      <c r="S464" s="87"/>
      <c r="T464" s="87"/>
      <c r="U464" s="87"/>
      <c r="V464" s="87"/>
      <c r="W464" s="87"/>
      <c r="X464" s="78" t="s">
        <v>40</v>
      </c>
      <c r="Y464" s="87"/>
      <c r="Z464" s="87"/>
      <c r="AA464" s="87"/>
      <c r="AB464" s="87"/>
      <c r="AC464" s="8"/>
    </row>
    <row r="465" spans="1:29" s="2" customFormat="1" ht="31" x14ac:dyDescent="0.35">
      <c r="A465" s="79" t="s">
        <v>218</v>
      </c>
      <c r="B465" s="80" t="s">
        <v>622</v>
      </c>
      <c r="C465" s="80" t="s">
        <v>656</v>
      </c>
      <c r="D465" s="80"/>
      <c r="E465" s="80"/>
      <c r="F465" s="80"/>
      <c r="G465" s="80"/>
      <c r="H465" s="80" t="s">
        <v>657</v>
      </c>
      <c r="I465" s="80"/>
      <c r="J465" s="80"/>
      <c r="K465" s="80"/>
      <c r="L465" s="80"/>
      <c r="M465" s="80"/>
      <c r="N465" s="131"/>
      <c r="O465" s="132"/>
      <c r="P465" s="13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3"/>
    </row>
    <row r="466" spans="1:29" s="2" customFormat="1" ht="31" x14ac:dyDescent="0.35">
      <c r="A466" s="79" t="s">
        <v>218</v>
      </c>
      <c r="B466" s="80" t="s">
        <v>622</v>
      </c>
      <c r="C466" s="80" t="s">
        <v>656</v>
      </c>
      <c r="D466" s="80"/>
      <c r="E466" s="80"/>
      <c r="F466" s="80"/>
      <c r="G466" s="80"/>
      <c r="H466" s="80" t="s">
        <v>658</v>
      </c>
      <c r="I466" s="80"/>
      <c r="J466" s="80"/>
      <c r="K466" s="80"/>
      <c r="L466" s="80"/>
      <c r="M466" s="80"/>
      <c r="N466" s="80"/>
      <c r="O466" s="81"/>
      <c r="P466" s="81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3"/>
    </row>
    <row r="467" spans="1:29" s="2" customFormat="1" ht="31" x14ac:dyDescent="0.35">
      <c r="A467" s="79" t="s">
        <v>218</v>
      </c>
      <c r="B467" s="80" t="s">
        <v>622</v>
      </c>
      <c r="C467" s="80" t="s">
        <v>656</v>
      </c>
      <c r="D467" s="80"/>
      <c r="E467" s="80"/>
      <c r="F467" s="80"/>
      <c r="G467" s="80"/>
      <c r="H467" s="80" t="s">
        <v>659</v>
      </c>
      <c r="I467" s="80"/>
      <c r="J467" s="80"/>
      <c r="K467" s="80"/>
      <c r="L467" s="80"/>
      <c r="M467" s="80"/>
      <c r="N467" s="80"/>
      <c r="O467" s="81"/>
      <c r="P467" s="81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3"/>
    </row>
    <row r="468" spans="1:29" s="2" customFormat="1" ht="31" x14ac:dyDescent="0.35">
      <c r="A468" s="79" t="s">
        <v>218</v>
      </c>
      <c r="B468" s="80" t="s">
        <v>622</v>
      </c>
      <c r="C468" s="80" t="s">
        <v>656</v>
      </c>
      <c r="D468" s="80"/>
      <c r="E468" s="80"/>
      <c r="F468" s="80"/>
      <c r="G468" s="80"/>
      <c r="H468" s="80" t="s">
        <v>660</v>
      </c>
      <c r="I468" s="80"/>
      <c r="J468" s="80"/>
      <c r="K468" s="80"/>
      <c r="L468" s="80"/>
      <c r="M468" s="80"/>
      <c r="N468" s="80"/>
      <c r="O468" s="81"/>
      <c r="P468" s="81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3"/>
    </row>
    <row r="469" spans="1:29" s="2" customFormat="1" ht="31" x14ac:dyDescent="0.35">
      <c r="A469" s="79" t="s">
        <v>218</v>
      </c>
      <c r="B469" s="80" t="s">
        <v>622</v>
      </c>
      <c r="C469" s="80" t="s">
        <v>656</v>
      </c>
      <c r="D469" s="80"/>
      <c r="E469" s="80"/>
      <c r="F469" s="80"/>
      <c r="G469" s="80"/>
      <c r="H469" s="80" t="s">
        <v>661</v>
      </c>
      <c r="I469" s="80"/>
      <c r="J469" s="80"/>
      <c r="K469" s="80"/>
      <c r="L469" s="80"/>
      <c r="M469" s="80"/>
      <c r="N469" s="80"/>
      <c r="O469" s="81"/>
      <c r="P469" s="81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3"/>
    </row>
    <row r="470" spans="1:29" s="2" customFormat="1" ht="31" x14ac:dyDescent="0.35">
      <c r="A470" s="79" t="s">
        <v>218</v>
      </c>
      <c r="B470" s="80" t="s">
        <v>622</v>
      </c>
      <c r="C470" s="80" t="s">
        <v>656</v>
      </c>
      <c r="D470" s="80"/>
      <c r="E470" s="80"/>
      <c r="F470" s="80"/>
      <c r="G470" s="80"/>
      <c r="H470" s="80" t="s">
        <v>662</v>
      </c>
      <c r="I470" s="80"/>
      <c r="J470" s="80"/>
      <c r="K470" s="80"/>
      <c r="L470" s="80"/>
      <c r="M470" s="80"/>
      <c r="N470" s="80"/>
      <c r="O470" s="81"/>
      <c r="P470" s="81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3"/>
    </row>
    <row r="471" spans="1:29" s="2" customFormat="1" ht="31" x14ac:dyDescent="0.35">
      <c r="A471" s="79" t="s">
        <v>218</v>
      </c>
      <c r="B471" s="80" t="s">
        <v>622</v>
      </c>
      <c r="C471" s="80" t="s">
        <v>656</v>
      </c>
      <c r="D471" s="80"/>
      <c r="E471" s="80"/>
      <c r="F471" s="80"/>
      <c r="G471" s="80"/>
      <c r="H471" s="80" t="s">
        <v>663</v>
      </c>
      <c r="I471" s="80"/>
      <c r="J471" s="80"/>
      <c r="K471" s="80"/>
      <c r="L471" s="80"/>
      <c r="M471" s="80"/>
      <c r="N471" s="80"/>
      <c r="O471" s="81"/>
      <c r="P471" s="81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3"/>
    </row>
    <row r="472" spans="1:29" s="2" customFormat="1" ht="31" x14ac:dyDescent="0.35">
      <c r="A472" s="79" t="s">
        <v>218</v>
      </c>
      <c r="B472" s="80" t="s">
        <v>622</v>
      </c>
      <c r="C472" s="80" t="s">
        <v>656</v>
      </c>
      <c r="D472" s="80"/>
      <c r="E472" s="80"/>
      <c r="F472" s="80"/>
      <c r="G472" s="80"/>
      <c r="H472" s="80" t="s">
        <v>664</v>
      </c>
      <c r="I472" s="80"/>
      <c r="J472" s="80"/>
      <c r="K472" s="80"/>
      <c r="L472" s="80"/>
      <c r="M472" s="80"/>
      <c r="N472" s="80"/>
      <c r="O472" s="81"/>
      <c r="P472" s="81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3"/>
    </row>
    <row r="473" spans="1:29" s="2" customFormat="1" ht="31" x14ac:dyDescent="0.35">
      <c r="A473" s="79" t="s">
        <v>218</v>
      </c>
      <c r="B473" s="80" t="s">
        <v>622</v>
      </c>
      <c r="C473" s="80" t="s">
        <v>656</v>
      </c>
      <c r="D473" s="80"/>
      <c r="E473" s="80"/>
      <c r="F473" s="80"/>
      <c r="G473" s="80"/>
      <c r="H473" s="80" t="s">
        <v>665</v>
      </c>
      <c r="I473" s="80"/>
      <c r="J473" s="80"/>
      <c r="K473" s="80"/>
      <c r="L473" s="80"/>
      <c r="M473" s="80"/>
      <c r="N473" s="80"/>
      <c r="O473" s="81"/>
      <c r="P473" s="81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3"/>
    </row>
    <row r="474" spans="1:29" s="2" customFormat="1" ht="31" x14ac:dyDescent="0.35">
      <c r="A474" s="79" t="s">
        <v>218</v>
      </c>
      <c r="B474" s="80" t="s">
        <v>622</v>
      </c>
      <c r="C474" s="80" t="s">
        <v>656</v>
      </c>
      <c r="D474" s="80"/>
      <c r="E474" s="80"/>
      <c r="F474" s="80"/>
      <c r="G474" s="80"/>
      <c r="H474" s="80" t="s">
        <v>666</v>
      </c>
      <c r="I474" s="80"/>
      <c r="J474" s="80"/>
      <c r="K474" s="80"/>
      <c r="L474" s="80"/>
      <c r="M474" s="80"/>
      <c r="N474" s="80"/>
      <c r="O474" s="81"/>
      <c r="P474" s="81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3"/>
    </row>
    <row r="475" spans="1:29" s="2" customFormat="1" ht="31" x14ac:dyDescent="0.35">
      <c r="A475" s="79" t="s">
        <v>218</v>
      </c>
      <c r="B475" s="80" t="s">
        <v>622</v>
      </c>
      <c r="C475" s="80" t="s">
        <v>656</v>
      </c>
      <c r="D475" s="80"/>
      <c r="E475" s="80"/>
      <c r="F475" s="80"/>
      <c r="G475" s="80"/>
      <c r="H475" s="80" t="s">
        <v>667</v>
      </c>
      <c r="I475" s="80"/>
      <c r="J475" s="80"/>
      <c r="K475" s="80"/>
      <c r="L475" s="80"/>
      <c r="M475" s="80"/>
      <c r="N475" s="80"/>
      <c r="O475" s="81"/>
      <c r="P475" s="81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3"/>
    </row>
    <row r="476" spans="1:29" s="2" customFormat="1" ht="31" x14ac:dyDescent="0.35">
      <c r="A476" s="79" t="s">
        <v>218</v>
      </c>
      <c r="B476" s="80" t="s">
        <v>622</v>
      </c>
      <c r="C476" s="80" t="s">
        <v>656</v>
      </c>
      <c r="D476" s="80"/>
      <c r="E476" s="80"/>
      <c r="F476" s="80"/>
      <c r="G476" s="80"/>
      <c r="H476" s="80" t="s">
        <v>668</v>
      </c>
      <c r="I476" s="80"/>
      <c r="J476" s="80"/>
      <c r="K476" s="80"/>
      <c r="L476" s="80"/>
      <c r="M476" s="80"/>
      <c r="N476" s="80"/>
      <c r="O476" s="81"/>
      <c r="P476" s="81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3"/>
    </row>
    <row r="477" spans="1:29" s="2" customFormat="1" ht="31" x14ac:dyDescent="0.35">
      <c r="A477" s="79" t="s">
        <v>218</v>
      </c>
      <c r="B477" s="80" t="s">
        <v>622</v>
      </c>
      <c r="C477" s="80" t="s">
        <v>656</v>
      </c>
      <c r="D477" s="80"/>
      <c r="E477" s="80"/>
      <c r="F477" s="80"/>
      <c r="G477" s="80"/>
      <c r="H477" s="80" t="s">
        <v>669</v>
      </c>
      <c r="I477" s="80"/>
      <c r="J477" s="80"/>
      <c r="K477" s="80"/>
      <c r="L477" s="80"/>
      <c r="M477" s="80"/>
      <c r="N477" s="125"/>
      <c r="O477" s="126"/>
      <c r="P477" s="126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3"/>
    </row>
    <row r="478" spans="1:29" ht="46.5" x14ac:dyDescent="0.35">
      <c r="A478" s="165" t="s">
        <v>218</v>
      </c>
      <c r="B478" s="83" t="s">
        <v>622</v>
      </c>
      <c r="C478" s="84" t="s">
        <v>670</v>
      </c>
      <c r="D478" s="89" t="s">
        <v>40</v>
      </c>
      <c r="E478" s="84"/>
      <c r="F478" s="84"/>
      <c r="G478" s="84"/>
      <c r="H478" s="83" t="s">
        <v>671</v>
      </c>
      <c r="I478" s="84" t="s">
        <v>624</v>
      </c>
      <c r="J478" s="83" t="s">
        <v>43</v>
      </c>
      <c r="K478" s="83" t="s">
        <v>43</v>
      </c>
      <c r="L478" s="83"/>
      <c r="M478" s="133" t="s">
        <v>44</v>
      </c>
      <c r="N478" s="147" t="s">
        <v>672</v>
      </c>
      <c r="O478" s="147">
        <v>480</v>
      </c>
      <c r="P478" s="147"/>
      <c r="Q478" s="130"/>
      <c r="R478" s="87"/>
      <c r="S478" s="78" t="s">
        <v>40</v>
      </c>
      <c r="T478" s="87"/>
      <c r="U478" s="87"/>
      <c r="V478" s="87"/>
      <c r="W478" s="87"/>
      <c r="X478" s="87"/>
      <c r="Y478" s="78" t="s">
        <v>40</v>
      </c>
      <c r="Z478" s="87"/>
      <c r="AA478" s="87"/>
      <c r="AB478" s="87"/>
      <c r="AC478" s="8"/>
    </row>
    <row r="479" spans="1:29" ht="62" x14ac:dyDescent="0.35">
      <c r="A479" s="165" t="s">
        <v>218</v>
      </c>
      <c r="B479" s="83" t="s">
        <v>219</v>
      </c>
      <c r="C479" s="84" t="s">
        <v>670</v>
      </c>
      <c r="D479" s="89" t="s">
        <v>40</v>
      </c>
      <c r="E479" s="84"/>
      <c r="F479" s="84"/>
      <c r="G479" s="84"/>
      <c r="H479" s="83" t="s">
        <v>673</v>
      </c>
      <c r="I479" s="84" t="s">
        <v>674</v>
      </c>
      <c r="J479" s="83" t="s">
        <v>43</v>
      </c>
      <c r="K479" s="83" t="s">
        <v>43</v>
      </c>
      <c r="L479" s="83"/>
      <c r="M479" s="83" t="s">
        <v>44</v>
      </c>
      <c r="N479" s="124" t="s">
        <v>672</v>
      </c>
      <c r="O479" s="124">
        <v>480</v>
      </c>
      <c r="P479" s="124"/>
      <c r="Q479" s="87"/>
      <c r="R479" s="87"/>
      <c r="S479" s="93" t="s">
        <v>45</v>
      </c>
      <c r="T479" s="87"/>
      <c r="U479" s="87"/>
      <c r="V479" s="87"/>
      <c r="W479" s="87"/>
      <c r="X479" s="87"/>
      <c r="Y479" s="93" t="s">
        <v>45</v>
      </c>
      <c r="Z479" s="87"/>
      <c r="AA479" s="87"/>
      <c r="AB479" s="87"/>
      <c r="AC479" s="8"/>
    </row>
    <row r="480" spans="1:29" s="2" customFormat="1" ht="31" x14ac:dyDescent="0.35">
      <c r="A480" s="79" t="s">
        <v>218</v>
      </c>
      <c r="B480" s="80" t="s">
        <v>622</v>
      </c>
      <c r="C480" s="80" t="s">
        <v>670</v>
      </c>
      <c r="D480" s="80"/>
      <c r="E480" s="80"/>
      <c r="F480" s="80"/>
      <c r="G480" s="80"/>
      <c r="H480" s="80" t="s">
        <v>675</v>
      </c>
      <c r="I480" s="80"/>
      <c r="J480" s="80"/>
      <c r="K480" s="80"/>
      <c r="L480" s="80"/>
      <c r="M480" s="80"/>
      <c r="N480" s="80"/>
      <c r="O480" s="81"/>
      <c r="P480" s="81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3"/>
    </row>
    <row r="481" spans="1:29" s="2" customFormat="1" ht="31" x14ac:dyDescent="0.35">
      <c r="A481" s="79" t="s">
        <v>218</v>
      </c>
      <c r="B481" s="80" t="s">
        <v>622</v>
      </c>
      <c r="C481" s="80" t="s">
        <v>670</v>
      </c>
      <c r="D481" s="80"/>
      <c r="E481" s="80"/>
      <c r="F481" s="80"/>
      <c r="G481" s="80"/>
      <c r="H481" s="80" t="s">
        <v>676</v>
      </c>
      <c r="I481" s="80"/>
      <c r="J481" s="80"/>
      <c r="K481" s="80"/>
      <c r="L481" s="80"/>
      <c r="M481" s="80"/>
      <c r="N481" s="80"/>
      <c r="O481" s="81"/>
      <c r="P481" s="81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3"/>
    </row>
    <row r="482" spans="1:29" s="2" customFormat="1" ht="31" x14ac:dyDescent="0.35">
      <c r="A482" s="79" t="s">
        <v>218</v>
      </c>
      <c r="B482" s="80" t="s">
        <v>622</v>
      </c>
      <c r="C482" s="80" t="s">
        <v>670</v>
      </c>
      <c r="D482" s="80"/>
      <c r="E482" s="80"/>
      <c r="F482" s="80"/>
      <c r="G482" s="80"/>
      <c r="H482" s="80" t="s">
        <v>677</v>
      </c>
      <c r="I482" s="80"/>
      <c r="J482" s="80"/>
      <c r="K482" s="80"/>
      <c r="L482" s="80"/>
      <c r="M482" s="80"/>
      <c r="N482" s="80"/>
      <c r="O482" s="81"/>
      <c r="P482" s="81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3"/>
    </row>
    <row r="483" spans="1:29" s="2" customFormat="1" ht="31" x14ac:dyDescent="0.35">
      <c r="A483" s="79" t="s">
        <v>218</v>
      </c>
      <c r="B483" s="80" t="s">
        <v>622</v>
      </c>
      <c r="C483" s="80" t="s">
        <v>670</v>
      </c>
      <c r="D483" s="80"/>
      <c r="E483" s="80"/>
      <c r="F483" s="80"/>
      <c r="G483" s="80"/>
      <c r="H483" s="80" t="s">
        <v>678</v>
      </c>
      <c r="I483" s="80"/>
      <c r="J483" s="80"/>
      <c r="K483" s="80"/>
      <c r="L483" s="80"/>
      <c r="M483" s="80"/>
      <c r="N483" s="80"/>
      <c r="O483" s="81"/>
      <c r="P483" s="81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3"/>
    </row>
    <row r="484" spans="1:29" s="2" customFormat="1" ht="31" x14ac:dyDescent="0.35">
      <c r="A484" s="79" t="s">
        <v>218</v>
      </c>
      <c r="B484" s="80" t="s">
        <v>622</v>
      </c>
      <c r="C484" s="80" t="s">
        <v>670</v>
      </c>
      <c r="D484" s="80"/>
      <c r="E484" s="80"/>
      <c r="F484" s="80"/>
      <c r="G484" s="80"/>
      <c r="H484" s="80" t="s">
        <v>679</v>
      </c>
      <c r="I484" s="80"/>
      <c r="J484" s="80"/>
      <c r="K484" s="80"/>
      <c r="L484" s="80"/>
      <c r="M484" s="80"/>
      <c r="N484" s="80"/>
      <c r="O484" s="81"/>
      <c r="P484" s="81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3"/>
    </row>
    <row r="485" spans="1:29" s="2" customFormat="1" ht="31" x14ac:dyDescent="0.35">
      <c r="A485" s="79" t="s">
        <v>218</v>
      </c>
      <c r="B485" s="80" t="s">
        <v>622</v>
      </c>
      <c r="C485" s="80" t="s">
        <v>670</v>
      </c>
      <c r="D485" s="80"/>
      <c r="E485" s="80"/>
      <c r="F485" s="80"/>
      <c r="G485" s="80"/>
      <c r="H485" s="80" t="s">
        <v>680</v>
      </c>
      <c r="I485" s="80"/>
      <c r="J485" s="80"/>
      <c r="K485" s="80"/>
      <c r="L485" s="80"/>
      <c r="M485" s="80"/>
      <c r="N485" s="125"/>
      <c r="O485" s="126"/>
      <c r="P485" s="126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3"/>
    </row>
    <row r="486" spans="1:29" ht="46.5" x14ac:dyDescent="0.35">
      <c r="A486" s="165" t="s">
        <v>218</v>
      </c>
      <c r="B486" s="83" t="s">
        <v>622</v>
      </c>
      <c r="C486" s="84" t="s">
        <v>681</v>
      </c>
      <c r="D486" s="84"/>
      <c r="E486" s="85" t="s">
        <v>40</v>
      </c>
      <c r="F486" s="84"/>
      <c r="G486" s="84"/>
      <c r="H486" s="83" t="s">
        <v>682</v>
      </c>
      <c r="I486" s="84" t="s">
        <v>624</v>
      </c>
      <c r="J486" s="83" t="s">
        <v>43</v>
      </c>
      <c r="K486" s="83" t="s">
        <v>43</v>
      </c>
      <c r="L486" s="83"/>
      <c r="M486" s="133" t="s">
        <v>44</v>
      </c>
      <c r="N486" s="147" t="s">
        <v>672</v>
      </c>
      <c r="O486" s="147">
        <v>480</v>
      </c>
      <c r="P486" s="147"/>
      <c r="Q486" s="130"/>
      <c r="R486" s="87"/>
      <c r="S486" s="78" t="s">
        <v>40</v>
      </c>
      <c r="T486" s="87"/>
      <c r="U486" s="87"/>
      <c r="V486" s="87"/>
      <c r="W486" s="87"/>
      <c r="X486" s="87"/>
      <c r="Y486" s="78" t="s">
        <v>40</v>
      </c>
      <c r="Z486" s="87"/>
      <c r="AA486" s="87"/>
      <c r="AB486" s="87"/>
      <c r="AC486" s="8"/>
    </row>
    <row r="487" spans="1:29" s="2" customFormat="1" ht="31" x14ac:dyDescent="0.35">
      <c r="A487" s="79" t="s">
        <v>218</v>
      </c>
      <c r="B487" s="80" t="s">
        <v>622</v>
      </c>
      <c r="C487" s="80" t="s">
        <v>681</v>
      </c>
      <c r="D487" s="80"/>
      <c r="E487" s="80"/>
      <c r="F487" s="80"/>
      <c r="G487" s="80"/>
      <c r="H487" s="80" t="s">
        <v>683</v>
      </c>
      <c r="I487" s="80"/>
      <c r="J487" s="80"/>
      <c r="K487" s="80"/>
      <c r="L487" s="80"/>
      <c r="M487" s="80"/>
      <c r="N487" s="131"/>
      <c r="O487" s="132"/>
      <c r="P487" s="13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3"/>
    </row>
    <row r="488" spans="1:29" s="2" customFormat="1" ht="31" x14ac:dyDescent="0.35">
      <c r="A488" s="79" t="s">
        <v>218</v>
      </c>
      <c r="B488" s="80" t="s">
        <v>622</v>
      </c>
      <c r="C488" s="80" t="s">
        <v>681</v>
      </c>
      <c r="D488" s="80"/>
      <c r="E488" s="80"/>
      <c r="F488" s="80"/>
      <c r="G488" s="80"/>
      <c r="H488" s="80" t="s">
        <v>684</v>
      </c>
      <c r="I488" s="80"/>
      <c r="J488" s="80"/>
      <c r="K488" s="80"/>
      <c r="L488" s="80"/>
      <c r="M488" s="80"/>
      <c r="N488" s="80"/>
      <c r="O488" s="81"/>
      <c r="P488" s="81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3"/>
    </row>
    <row r="489" spans="1:29" s="2" customFormat="1" ht="31" x14ac:dyDescent="0.35">
      <c r="A489" s="79" t="s">
        <v>218</v>
      </c>
      <c r="B489" s="80" t="s">
        <v>622</v>
      </c>
      <c r="C489" s="80" t="s">
        <v>681</v>
      </c>
      <c r="D489" s="80"/>
      <c r="E489" s="80"/>
      <c r="F489" s="80"/>
      <c r="G489" s="80"/>
      <c r="H489" s="80" t="s">
        <v>685</v>
      </c>
      <c r="I489" s="80"/>
      <c r="J489" s="80"/>
      <c r="K489" s="80"/>
      <c r="L489" s="80"/>
      <c r="M489" s="80"/>
      <c r="N489" s="80"/>
      <c r="O489" s="81"/>
      <c r="P489" s="81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3"/>
    </row>
    <row r="490" spans="1:29" s="2" customFormat="1" ht="31" x14ac:dyDescent="0.35">
      <c r="A490" s="79" t="s">
        <v>218</v>
      </c>
      <c r="B490" s="80" t="s">
        <v>622</v>
      </c>
      <c r="C490" s="80" t="s">
        <v>681</v>
      </c>
      <c r="D490" s="80"/>
      <c r="E490" s="80"/>
      <c r="F490" s="80"/>
      <c r="G490" s="80"/>
      <c r="H490" s="80" t="s">
        <v>686</v>
      </c>
      <c r="I490" s="80"/>
      <c r="J490" s="80"/>
      <c r="K490" s="80"/>
      <c r="L490" s="80"/>
      <c r="M490" s="80"/>
      <c r="N490" s="80"/>
      <c r="O490" s="81"/>
      <c r="P490" s="81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3"/>
    </row>
    <row r="491" spans="1:29" ht="46.5" x14ac:dyDescent="0.35">
      <c r="A491" s="165" t="s">
        <v>218</v>
      </c>
      <c r="B491" s="83" t="s">
        <v>622</v>
      </c>
      <c r="C491" s="84" t="s">
        <v>687</v>
      </c>
      <c r="D491" s="84"/>
      <c r="E491" s="85" t="s">
        <v>72</v>
      </c>
      <c r="F491" s="84"/>
      <c r="G491" s="84"/>
      <c r="H491" s="83" t="s">
        <v>688</v>
      </c>
      <c r="I491" s="84" t="s">
        <v>624</v>
      </c>
      <c r="J491" s="83" t="s">
        <v>43</v>
      </c>
      <c r="K491" s="83" t="s">
        <v>43</v>
      </c>
      <c r="L491" s="83"/>
      <c r="M491" s="83" t="s">
        <v>44</v>
      </c>
      <c r="N491" s="86">
        <v>900</v>
      </c>
      <c r="O491" s="86">
        <v>120</v>
      </c>
      <c r="P491" s="86"/>
      <c r="Q491" s="87"/>
      <c r="R491" s="87"/>
      <c r="S491" s="87"/>
      <c r="T491" s="93" t="s">
        <v>86</v>
      </c>
      <c r="U491" s="87"/>
      <c r="V491" s="87"/>
      <c r="W491" s="87"/>
      <c r="X491" s="87"/>
      <c r="Y491" s="87"/>
      <c r="Z491" s="87"/>
      <c r="AA491" s="87"/>
      <c r="AB491" s="87"/>
      <c r="AC491" s="8"/>
    </row>
    <row r="492" spans="1:29" s="2" customFormat="1" ht="31" x14ac:dyDescent="0.35">
      <c r="A492" s="79" t="s">
        <v>218</v>
      </c>
      <c r="B492" s="80" t="s">
        <v>622</v>
      </c>
      <c r="C492" s="80" t="s">
        <v>687</v>
      </c>
      <c r="D492" s="80"/>
      <c r="E492" s="80"/>
      <c r="F492" s="80"/>
      <c r="G492" s="80"/>
      <c r="H492" s="80" t="s">
        <v>689</v>
      </c>
      <c r="I492" s="80"/>
      <c r="J492" s="80"/>
      <c r="K492" s="80"/>
      <c r="L492" s="80"/>
      <c r="M492" s="80"/>
      <c r="N492" s="80"/>
      <c r="O492" s="81"/>
      <c r="P492" s="81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3"/>
    </row>
    <row r="493" spans="1:29" s="2" customFormat="1" ht="31" x14ac:dyDescent="0.35">
      <c r="A493" s="79" t="s">
        <v>218</v>
      </c>
      <c r="B493" s="80" t="s">
        <v>622</v>
      </c>
      <c r="C493" s="80" t="s">
        <v>687</v>
      </c>
      <c r="D493" s="80"/>
      <c r="E493" s="80"/>
      <c r="F493" s="80"/>
      <c r="G493" s="80"/>
      <c r="H493" s="80" t="s">
        <v>690</v>
      </c>
      <c r="I493" s="80"/>
      <c r="J493" s="80"/>
      <c r="K493" s="80"/>
      <c r="L493" s="80"/>
      <c r="M493" s="80"/>
      <c r="N493" s="80"/>
      <c r="O493" s="81"/>
      <c r="P493" s="81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3"/>
    </row>
    <row r="494" spans="1:29" ht="46.5" x14ac:dyDescent="0.35">
      <c r="A494" s="165" t="s">
        <v>218</v>
      </c>
      <c r="B494" s="83" t="s">
        <v>622</v>
      </c>
      <c r="C494" s="84" t="s">
        <v>691</v>
      </c>
      <c r="D494" s="84"/>
      <c r="E494" s="85" t="s">
        <v>72</v>
      </c>
      <c r="F494" s="84"/>
      <c r="G494" s="84"/>
      <c r="H494" s="83" t="s">
        <v>85</v>
      </c>
      <c r="I494" s="84" t="s">
        <v>624</v>
      </c>
      <c r="J494" s="83" t="s">
        <v>43</v>
      </c>
      <c r="K494" s="83" t="s">
        <v>43</v>
      </c>
      <c r="L494" s="83"/>
      <c r="M494" s="83" t="s">
        <v>44</v>
      </c>
      <c r="N494" s="86">
        <v>186.12</v>
      </c>
      <c r="O494" s="86">
        <v>120</v>
      </c>
      <c r="P494" s="86"/>
      <c r="Q494" s="87"/>
      <c r="R494" s="87"/>
      <c r="S494" s="87"/>
      <c r="T494" s="87"/>
      <c r="U494" s="87"/>
      <c r="V494" s="87"/>
      <c r="W494" s="78" t="s">
        <v>72</v>
      </c>
      <c r="X494" s="87"/>
      <c r="Y494" s="87"/>
      <c r="Z494" s="87"/>
      <c r="AA494" s="87"/>
      <c r="AB494" s="87"/>
      <c r="AC494" s="8"/>
    </row>
    <row r="495" spans="1:29" s="2" customFormat="1" ht="31" x14ac:dyDescent="0.35">
      <c r="A495" s="79" t="s">
        <v>218</v>
      </c>
      <c r="B495" s="80" t="s">
        <v>622</v>
      </c>
      <c r="C495" s="80" t="s">
        <v>691</v>
      </c>
      <c r="D495" s="80"/>
      <c r="E495" s="80"/>
      <c r="F495" s="80"/>
      <c r="G495" s="80"/>
      <c r="H495" s="80" t="s">
        <v>692</v>
      </c>
      <c r="I495" s="80"/>
      <c r="J495" s="80"/>
      <c r="K495" s="80"/>
      <c r="L495" s="80"/>
      <c r="M495" s="80"/>
      <c r="N495" s="80"/>
      <c r="O495" s="81"/>
      <c r="P495" s="81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3"/>
    </row>
    <row r="496" spans="1:29" s="2" customFormat="1" ht="31" x14ac:dyDescent="0.35">
      <c r="A496" s="79" t="s">
        <v>218</v>
      </c>
      <c r="B496" s="80" t="s">
        <v>622</v>
      </c>
      <c r="C496" s="80" t="s">
        <v>691</v>
      </c>
      <c r="D496" s="80"/>
      <c r="E496" s="80"/>
      <c r="F496" s="80"/>
      <c r="G496" s="80"/>
      <c r="H496" s="80" t="s">
        <v>693</v>
      </c>
      <c r="I496" s="80"/>
      <c r="J496" s="80"/>
      <c r="K496" s="80"/>
      <c r="L496" s="80"/>
      <c r="M496" s="80"/>
      <c r="N496" s="80"/>
      <c r="O496" s="81"/>
      <c r="P496" s="81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3"/>
    </row>
    <row r="497" spans="1:29" ht="46.5" x14ac:dyDescent="0.35">
      <c r="A497" s="165" t="s">
        <v>218</v>
      </c>
      <c r="B497" s="83" t="s">
        <v>622</v>
      </c>
      <c r="C497" s="84" t="s">
        <v>694</v>
      </c>
      <c r="D497" s="84"/>
      <c r="E497" s="85" t="s">
        <v>64</v>
      </c>
      <c r="F497" s="84"/>
      <c r="G497" s="84"/>
      <c r="H497" s="83" t="s">
        <v>65</v>
      </c>
      <c r="I497" s="84" t="s">
        <v>624</v>
      </c>
      <c r="J497" s="83" t="s">
        <v>43</v>
      </c>
      <c r="K497" s="83" t="s">
        <v>43</v>
      </c>
      <c r="L497" s="83"/>
      <c r="M497" s="83" t="s">
        <v>44</v>
      </c>
      <c r="N497" s="86">
        <v>744.48</v>
      </c>
      <c r="O497" s="86">
        <v>1200</v>
      </c>
      <c r="P497" s="86"/>
      <c r="Q497" s="87"/>
      <c r="R497" s="78" t="s">
        <v>64</v>
      </c>
      <c r="S497" s="87"/>
      <c r="T497" s="87"/>
      <c r="U497" s="78" t="s">
        <v>64</v>
      </c>
      <c r="V497" s="87"/>
      <c r="W497" s="87"/>
      <c r="X497" s="78" t="s">
        <v>64</v>
      </c>
      <c r="Y497" s="87"/>
      <c r="Z497" s="87"/>
      <c r="AA497" s="78" t="s">
        <v>64</v>
      </c>
      <c r="AB497" s="87"/>
      <c r="AC497" s="8"/>
    </row>
    <row r="498" spans="1:29" s="2" customFormat="1" ht="31" x14ac:dyDescent="0.35">
      <c r="A498" s="79" t="s">
        <v>218</v>
      </c>
      <c r="B498" s="80" t="s">
        <v>622</v>
      </c>
      <c r="C498" s="80" t="s">
        <v>694</v>
      </c>
      <c r="D498" s="80"/>
      <c r="E498" s="80"/>
      <c r="F498" s="80"/>
      <c r="G498" s="80"/>
      <c r="H498" s="80" t="s">
        <v>695</v>
      </c>
      <c r="I498" s="80"/>
      <c r="J498" s="80"/>
      <c r="K498" s="80"/>
      <c r="L498" s="80"/>
      <c r="M498" s="80"/>
      <c r="N498" s="80"/>
      <c r="O498" s="81"/>
      <c r="P498" s="81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3"/>
    </row>
    <row r="499" spans="1:29" s="2" customFormat="1" ht="31" x14ac:dyDescent="0.35">
      <c r="A499" s="79" t="s">
        <v>218</v>
      </c>
      <c r="B499" s="80" t="s">
        <v>622</v>
      </c>
      <c r="C499" s="80" t="s">
        <v>694</v>
      </c>
      <c r="D499" s="80"/>
      <c r="E499" s="80"/>
      <c r="F499" s="80"/>
      <c r="G499" s="80"/>
      <c r="H499" s="80" t="s">
        <v>696</v>
      </c>
      <c r="I499" s="80"/>
      <c r="J499" s="80"/>
      <c r="K499" s="80"/>
      <c r="L499" s="80"/>
      <c r="M499" s="80"/>
      <c r="N499" s="80"/>
      <c r="O499" s="81"/>
      <c r="P499" s="81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3"/>
    </row>
    <row r="500" spans="1:29" s="2" customFormat="1" ht="31" x14ac:dyDescent="0.35">
      <c r="A500" s="79" t="s">
        <v>218</v>
      </c>
      <c r="B500" s="80" t="s">
        <v>622</v>
      </c>
      <c r="C500" s="80" t="s">
        <v>694</v>
      </c>
      <c r="D500" s="80"/>
      <c r="E500" s="80"/>
      <c r="F500" s="80"/>
      <c r="G500" s="80"/>
      <c r="H500" s="80" t="s">
        <v>697</v>
      </c>
      <c r="I500" s="80"/>
      <c r="J500" s="80"/>
      <c r="K500" s="80"/>
      <c r="L500" s="80"/>
      <c r="M500" s="80"/>
      <c r="N500" s="80"/>
      <c r="O500" s="81"/>
      <c r="P500" s="81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3"/>
    </row>
    <row r="501" spans="1:29" s="2" customFormat="1" ht="31" x14ac:dyDescent="0.35">
      <c r="A501" s="79" t="s">
        <v>218</v>
      </c>
      <c r="B501" s="80" t="s">
        <v>622</v>
      </c>
      <c r="C501" s="80" t="s">
        <v>694</v>
      </c>
      <c r="D501" s="80"/>
      <c r="E501" s="80"/>
      <c r="F501" s="80"/>
      <c r="G501" s="80"/>
      <c r="H501" s="80" t="s">
        <v>698</v>
      </c>
      <c r="I501" s="80"/>
      <c r="J501" s="80"/>
      <c r="K501" s="80"/>
      <c r="L501" s="80"/>
      <c r="M501" s="80"/>
      <c r="N501" s="80"/>
      <c r="O501" s="81"/>
      <c r="P501" s="81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3"/>
    </row>
    <row r="502" spans="1:29" s="2" customFormat="1" ht="31" x14ac:dyDescent="0.35">
      <c r="A502" s="79" t="s">
        <v>218</v>
      </c>
      <c r="B502" s="80" t="s">
        <v>622</v>
      </c>
      <c r="C502" s="80" t="s">
        <v>694</v>
      </c>
      <c r="D502" s="80"/>
      <c r="E502" s="80"/>
      <c r="F502" s="80"/>
      <c r="G502" s="80"/>
      <c r="H502" s="80" t="s">
        <v>699</v>
      </c>
      <c r="I502" s="80"/>
      <c r="J502" s="80"/>
      <c r="K502" s="80"/>
      <c r="L502" s="80"/>
      <c r="M502" s="80"/>
      <c r="N502" s="80"/>
      <c r="O502" s="81"/>
      <c r="P502" s="81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3"/>
    </row>
    <row r="503" spans="1:29" ht="46.5" x14ac:dyDescent="0.35">
      <c r="A503" s="165" t="s">
        <v>218</v>
      </c>
      <c r="B503" s="83" t="s">
        <v>622</v>
      </c>
      <c r="C503" s="84" t="s">
        <v>700</v>
      </c>
      <c r="D503" s="89" t="s">
        <v>72</v>
      </c>
      <c r="E503" s="84"/>
      <c r="F503" s="84"/>
      <c r="G503" s="84"/>
      <c r="H503" s="83" t="s">
        <v>701</v>
      </c>
      <c r="I503" s="84" t="s">
        <v>624</v>
      </c>
      <c r="J503" s="83" t="s">
        <v>702</v>
      </c>
      <c r="K503" s="83" t="s">
        <v>43</v>
      </c>
      <c r="L503" s="83"/>
      <c r="M503" s="83" t="s">
        <v>44</v>
      </c>
      <c r="N503" s="86">
        <v>2200</v>
      </c>
      <c r="O503" s="86">
        <v>3500</v>
      </c>
      <c r="P503" s="86"/>
      <c r="Q503" s="87"/>
      <c r="R503" s="87"/>
      <c r="S503" s="87"/>
      <c r="T503" s="78" t="s">
        <v>72</v>
      </c>
      <c r="U503" s="87"/>
      <c r="V503" s="87"/>
      <c r="W503" s="87"/>
      <c r="X503" s="87"/>
      <c r="Y503" s="87"/>
      <c r="Z503" s="87"/>
      <c r="AA503" s="87"/>
      <c r="AB503" s="87"/>
      <c r="AC503" s="8"/>
    </row>
    <row r="504" spans="1:29" s="2" customFormat="1" ht="31" x14ac:dyDescent="0.35">
      <c r="A504" s="79" t="s">
        <v>218</v>
      </c>
      <c r="B504" s="80" t="s">
        <v>622</v>
      </c>
      <c r="C504" s="80" t="s">
        <v>700</v>
      </c>
      <c r="D504" s="80"/>
      <c r="E504" s="80"/>
      <c r="F504" s="80"/>
      <c r="G504" s="80"/>
      <c r="H504" s="80" t="s">
        <v>703</v>
      </c>
      <c r="I504" s="80"/>
      <c r="J504" s="80"/>
      <c r="K504" s="80"/>
      <c r="L504" s="80"/>
      <c r="M504" s="80"/>
      <c r="N504" s="80"/>
      <c r="O504" s="81"/>
      <c r="P504" s="81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3"/>
    </row>
    <row r="505" spans="1:29" s="2" customFormat="1" ht="31" x14ac:dyDescent="0.35">
      <c r="A505" s="79" t="s">
        <v>218</v>
      </c>
      <c r="B505" s="80" t="s">
        <v>622</v>
      </c>
      <c r="C505" s="80" t="s">
        <v>700</v>
      </c>
      <c r="D505" s="80"/>
      <c r="E505" s="80"/>
      <c r="F505" s="80"/>
      <c r="G505" s="80"/>
      <c r="H505" s="80" t="s">
        <v>704</v>
      </c>
      <c r="I505" s="80"/>
      <c r="J505" s="80"/>
      <c r="K505" s="80"/>
      <c r="L505" s="80"/>
      <c r="M505" s="80"/>
      <c r="N505" s="80"/>
      <c r="O505" s="81"/>
      <c r="P505" s="81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3"/>
    </row>
    <row r="506" spans="1:29" ht="46.5" x14ac:dyDescent="0.35">
      <c r="A506" s="165" t="s">
        <v>218</v>
      </c>
      <c r="B506" s="83" t="s">
        <v>622</v>
      </c>
      <c r="C506" s="84" t="s">
        <v>705</v>
      </c>
      <c r="D506" s="84"/>
      <c r="E506" s="85" t="s">
        <v>72</v>
      </c>
      <c r="F506" s="84"/>
      <c r="G506" s="84"/>
      <c r="H506" s="83" t="s">
        <v>706</v>
      </c>
      <c r="I506" s="84" t="s">
        <v>624</v>
      </c>
      <c r="J506" s="83" t="s">
        <v>105</v>
      </c>
      <c r="K506" s="83" t="s">
        <v>43</v>
      </c>
      <c r="L506" s="83"/>
      <c r="M506" s="83" t="s">
        <v>44</v>
      </c>
      <c r="N506" s="100" t="s">
        <v>83</v>
      </c>
      <c r="O506" s="86" t="s">
        <v>707</v>
      </c>
      <c r="P506" s="86"/>
      <c r="Q506" s="87"/>
      <c r="R506" s="87"/>
      <c r="S506" s="87"/>
      <c r="T506" s="87"/>
      <c r="U506" s="93" t="s">
        <v>86</v>
      </c>
      <c r="V506" s="87"/>
      <c r="W506" s="87"/>
      <c r="X506" s="87"/>
      <c r="Y506" s="87"/>
      <c r="Z506" s="87"/>
      <c r="AA506" s="87"/>
      <c r="AB506" s="87"/>
      <c r="AC506" s="8"/>
    </row>
    <row r="507" spans="1:29" s="2" customFormat="1" ht="31" x14ac:dyDescent="0.35">
      <c r="A507" s="79" t="s">
        <v>218</v>
      </c>
      <c r="B507" s="80" t="s">
        <v>622</v>
      </c>
      <c r="C507" s="80" t="s">
        <v>705</v>
      </c>
      <c r="D507" s="80"/>
      <c r="E507" s="80"/>
      <c r="F507" s="80"/>
      <c r="G507" s="80"/>
      <c r="H507" s="80" t="s">
        <v>708</v>
      </c>
      <c r="I507" s="80"/>
      <c r="J507" s="80"/>
      <c r="K507" s="80"/>
      <c r="L507" s="80"/>
      <c r="M507" s="80"/>
      <c r="N507" s="80"/>
      <c r="O507" s="81"/>
      <c r="P507" s="81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3"/>
    </row>
    <row r="508" spans="1:29" s="2" customFormat="1" ht="31" x14ac:dyDescent="0.35">
      <c r="A508" s="79" t="s">
        <v>218</v>
      </c>
      <c r="B508" s="80" t="s">
        <v>622</v>
      </c>
      <c r="C508" s="80" t="s">
        <v>705</v>
      </c>
      <c r="D508" s="80"/>
      <c r="E508" s="80"/>
      <c r="F508" s="80"/>
      <c r="G508" s="80"/>
      <c r="H508" s="80" t="s">
        <v>709</v>
      </c>
      <c r="I508" s="80"/>
      <c r="J508" s="80"/>
      <c r="K508" s="80"/>
      <c r="L508" s="80"/>
      <c r="M508" s="80"/>
      <c r="N508" s="80"/>
      <c r="O508" s="81"/>
      <c r="P508" s="81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3"/>
    </row>
    <row r="509" spans="1:29" ht="46.5" x14ac:dyDescent="0.35">
      <c r="A509" s="165" t="s">
        <v>218</v>
      </c>
      <c r="B509" s="83" t="s">
        <v>622</v>
      </c>
      <c r="C509" s="84" t="s">
        <v>710</v>
      </c>
      <c r="D509" s="89" t="s">
        <v>40</v>
      </c>
      <c r="E509" s="85" t="s">
        <v>72</v>
      </c>
      <c r="F509" s="84"/>
      <c r="G509" s="85" t="s">
        <v>72</v>
      </c>
      <c r="H509" s="83" t="s">
        <v>428</v>
      </c>
      <c r="I509" s="84" t="s">
        <v>624</v>
      </c>
      <c r="J509" s="83" t="s">
        <v>118</v>
      </c>
      <c r="K509" s="83" t="s">
        <v>75</v>
      </c>
      <c r="L509" s="83"/>
      <c r="M509" s="83" t="s">
        <v>119</v>
      </c>
      <c r="N509" s="86" t="s">
        <v>120</v>
      </c>
      <c r="O509" s="86" t="s">
        <v>120</v>
      </c>
      <c r="P509" s="86"/>
      <c r="Q509" s="87"/>
      <c r="R509" s="93" t="s">
        <v>86</v>
      </c>
      <c r="S509" s="87"/>
      <c r="T509" s="87"/>
      <c r="U509" s="87"/>
      <c r="V509" s="87"/>
      <c r="W509" s="87"/>
      <c r="X509" s="93" t="s">
        <v>45</v>
      </c>
      <c r="Y509" s="87"/>
      <c r="Z509" s="87"/>
      <c r="AA509" s="87"/>
      <c r="AB509" s="87"/>
      <c r="AC509" s="8"/>
    </row>
    <row r="510" spans="1:29" s="2" customFormat="1" ht="31" x14ac:dyDescent="0.35">
      <c r="A510" s="79" t="s">
        <v>218</v>
      </c>
      <c r="B510" s="80" t="s">
        <v>622</v>
      </c>
      <c r="C510" s="80" t="s">
        <v>710</v>
      </c>
      <c r="D510" s="80"/>
      <c r="E510" s="80"/>
      <c r="F510" s="80"/>
      <c r="G510" s="80"/>
      <c r="H510" s="80" t="s">
        <v>711</v>
      </c>
      <c r="I510" s="80"/>
      <c r="J510" s="80"/>
      <c r="K510" s="80"/>
      <c r="L510" s="80"/>
      <c r="M510" s="80"/>
      <c r="N510" s="80"/>
      <c r="O510" s="81"/>
      <c r="P510" s="81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3"/>
    </row>
    <row r="511" spans="1:29" s="2" customFormat="1" ht="31" x14ac:dyDescent="0.35">
      <c r="A511" s="79" t="s">
        <v>218</v>
      </c>
      <c r="B511" s="80" t="s">
        <v>622</v>
      </c>
      <c r="C511" s="80" t="s">
        <v>710</v>
      </c>
      <c r="D511" s="80"/>
      <c r="E511" s="80"/>
      <c r="F511" s="80"/>
      <c r="G511" s="80"/>
      <c r="H511" s="80" t="s">
        <v>712</v>
      </c>
      <c r="I511" s="80"/>
      <c r="J511" s="80"/>
      <c r="K511" s="80"/>
      <c r="L511" s="80"/>
      <c r="M511" s="80"/>
      <c r="N511" s="80"/>
      <c r="O511" s="81"/>
      <c r="P511" s="81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3"/>
    </row>
    <row r="512" spans="1:29" ht="46.5" x14ac:dyDescent="0.35">
      <c r="A512" s="165" t="s">
        <v>218</v>
      </c>
      <c r="B512" s="83" t="s">
        <v>622</v>
      </c>
      <c r="C512" s="84" t="s">
        <v>713</v>
      </c>
      <c r="D512" s="89" t="s">
        <v>99</v>
      </c>
      <c r="E512" s="84"/>
      <c r="F512" s="84"/>
      <c r="G512" s="84"/>
      <c r="H512" s="83" t="s">
        <v>96</v>
      </c>
      <c r="I512" s="84" t="s">
        <v>624</v>
      </c>
      <c r="J512" s="83" t="s">
        <v>714</v>
      </c>
      <c r="K512" s="83" t="s">
        <v>43</v>
      </c>
      <c r="L512" s="88"/>
      <c r="M512" s="83" t="s">
        <v>44</v>
      </c>
      <c r="N512" s="166">
        <v>2233.44</v>
      </c>
      <c r="O512" s="86">
        <v>480</v>
      </c>
      <c r="P512" s="86"/>
      <c r="Q512" s="167"/>
      <c r="R512" s="167"/>
      <c r="S512" s="167"/>
      <c r="T512" s="167"/>
      <c r="U512" s="167"/>
      <c r="V512" s="167"/>
      <c r="W512" s="78" t="s">
        <v>72</v>
      </c>
      <c r="X512" s="167"/>
      <c r="Y512" s="167"/>
      <c r="Z512" s="167"/>
      <c r="AA512" s="167"/>
      <c r="AB512" s="167"/>
      <c r="AC512" s="9"/>
    </row>
    <row r="513" spans="1:29" ht="46.5" x14ac:dyDescent="0.35">
      <c r="A513" s="165" t="s">
        <v>218</v>
      </c>
      <c r="B513" s="83" t="s">
        <v>622</v>
      </c>
      <c r="C513" s="84" t="s">
        <v>713</v>
      </c>
      <c r="D513" s="89" t="s">
        <v>207</v>
      </c>
      <c r="E513" s="84"/>
      <c r="F513" s="84"/>
      <c r="G513" s="84"/>
      <c r="H513" s="83" t="s">
        <v>96</v>
      </c>
      <c r="I513" s="84" t="s">
        <v>624</v>
      </c>
      <c r="J513" s="72" t="s">
        <v>223</v>
      </c>
      <c r="K513" s="88" t="s">
        <v>75</v>
      </c>
      <c r="L513" s="88" t="s">
        <v>66</v>
      </c>
      <c r="M513" s="72" t="s">
        <v>67</v>
      </c>
      <c r="N513" s="86">
        <v>0</v>
      </c>
      <c r="O513" s="86">
        <v>0</v>
      </c>
      <c r="P513" s="86"/>
      <c r="Q513" s="93" t="s">
        <v>100</v>
      </c>
      <c r="R513" s="93" t="s">
        <v>100</v>
      </c>
      <c r="S513" s="93" t="s">
        <v>100</v>
      </c>
      <c r="T513" s="93" t="s">
        <v>100</v>
      </c>
      <c r="U513" s="97" t="s">
        <v>99</v>
      </c>
      <c r="V513" s="93" t="s">
        <v>100</v>
      </c>
      <c r="W513" s="93" t="s">
        <v>100</v>
      </c>
      <c r="X513" s="97" t="s">
        <v>99</v>
      </c>
      <c r="Y513" s="97" t="s">
        <v>99</v>
      </c>
      <c r="Z513" s="97" t="s">
        <v>99</v>
      </c>
      <c r="AA513" s="97" t="s">
        <v>99</v>
      </c>
      <c r="AB513" s="97" t="s">
        <v>99</v>
      </c>
      <c r="AC513" s="8"/>
    </row>
    <row r="514" spans="1:29" s="2" customFormat="1" ht="31" x14ac:dyDescent="0.35">
      <c r="A514" s="79" t="s">
        <v>218</v>
      </c>
      <c r="B514" s="80" t="s">
        <v>622</v>
      </c>
      <c r="C514" s="80" t="s">
        <v>713</v>
      </c>
      <c r="D514" s="80"/>
      <c r="E514" s="80"/>
      <c r="F514" s="80"/>
      <c r="G514" s="80"/>
      <c r="H514" s="80" t="s">
        <v>715</v>
      </c>
      <c r="I514" s="80"/>
      <c r="J514" s="80"/>
      <c r="K514" s="80"/>
      <c r="L514" s="80"/>
      <c r="M514" s="80"/>
      <c r="N514" s="80"/>
      <c r="O514" s="81"/>
      <c r="P514" s="81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3"/>
    </row>
    <row r="515" spans="1:29" s="2" customFormat="1" ht="31" x14ac:dyDescent="0.35">
      <c r="A515" s="79" t="s">
        <v>218</v>
      </c>
      <c r="B515" s="80" t="s">
        <v>622</v>
      </c>
      <c r="C515" s="80" t="s">
        <v>713</v>
      </c>
      <c r="D515" s="80"/>
      <c r="E515" s="80"/>
      <c r="F515" s="80"/>
      <c r="G515" s="80"/>
      <c r="H515" s="80" t="s">
        <v>716</v>
      </c>
      <c r="I515" s="80"/>
      <c r="J515" s="80"/>
      <c r="K515" s="80"/>
      <c r="L515" s="80"/>
      <c r="M515" s="80"/>
      <c r="N515" s="80"/>
      <c r="O515" s="81"/>
      <c r="P515" s="81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3"/>
    </row>
    <row r="516" spans="1:29" s="2" customFormat="1" ht="31" x14ac:dyDescent="0.35">
      <c r="A516" s="79" t="s">
        <v>218</v>
      </c>
      <c r="B516" s="80" t="s">
        <v>622</v>
      </c>
      <c r="C516" s="80" t="s">
        <v>713</v>
      </c>
      <c r="D516" s="80"/>
      <c r="E516" s="80"/>
      <c r="F516" s="80"/>
      <c r="G516" s="80"/>
      <c r="H516" s="80" t="s">
        <v>717</v>
      </c>
      <c r="I516" s="80"/>
      <c r="J516" s="80"/>
      <c r="K516" s="80"/>
      <c r="L516" s="80"/>
      <c r="M516" s="80"/>
      <c r="N516" s="80"/>
      <c r="O516" s="81"/>
      <c r="P516" s="81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3"/>
    </row>
    <row r="517" spans="1:29" ht="46.5" x14ac:dyDescent="0.35">
      <c r="A517" s="165" t="s">
        <v>218</v>
      </c>
      <c r="B517" s="83" t="s">
        <v>622</v>
      </c>
      <c r="C517" s="84" t="s">
        <v>718</v>
      </c>
      <c r="D517" s="89" t="s">
        <v>719</v>
      </c>
      <c r="E517" s="85" t="s">
        <v>72</v>
      </c>
      <c r="F517" s="84"/>
      <c r="G517" s="85" t="s">
        <v>72</v>
      </c>
      <c r="H517" s="83" t="s">
        <v>720</v>
      </c>
      <c r="I517" s="84" t="s">
        <v>624</v>
      </c>
      <c r="J517" s="83" t="s">
        <v>714</v>
      </c>
      <c r="K517" s="83" t="s">
        <v>43</v>
      </c>
      <c r="L517" s="83"/>
      <c r="M517" s="83" t="s">
        <v>44</v>
      </c>
      <c r="N517" s="86">
        <v>2730</v>
      </c>
      <c r="O517" s="86">
        <v>936</v>
      </c>
      <c r="P517" s="86"/>
      <c r="Q517" s="87"/>
      <c r="R517" s="93" t="s">
        <v>68</v>
      </c>
      <c r="S517" s="87"/>
      <c r="T517" s="87"/>
      <c r="U517" s="93" t="s">
        <v>86</v>
      </c>
      <c r="V517" s="87"/>
      <c r="W517" s="87"/>
      <c r="X517" s="93" t="s">
        <v>68</v>
      </c>
      <c r="Y517" s="87"/>
      <c r="Z517" s="87"/>
      <c r="AA517" s="93" t="s">
        <v>45</v>
      </c>
      <c r="AB517" s="87"/>
      <c r="AC517" s="8"/>
    </row>
    <row r="518" spans="1:29" s="2" customFormat="1" ht="31" x14ac:dyDescent="0.35">
      <c r="A518" s="79" t="s">
        <v>218</v>
      </c>
      <c r="B518" s="80" t="s">
        <v>622</v>
      </c>
      <c r="C518" s="80" t="s">
        <v>718</v>
      </c>
      <c r="D518" s="80"/>
      <c r="E518" s="80"/>
      <c r="F518" s="80"/>
      <c r="G518" s="80"/>
      <c r="H518" s="80" t="s">
        <v>721</v>
      </c>
      <c r="I518" s="80"/>
      <c r="J518" s="80"/>
      <c r="K518" s="80"/>
      <c r="L518" s="80"/>
      <c r="M518" s="80"/>
      <c r="N518" s="80"/>
      <c r="O518" s="81"/>
      <c r="P518" s="81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3"/>
    </row>
    <row r="519" spans="1:29" s="2" customFormat="1" ht="31" x14ac:dyDescent="0.35">
      <c r="A519" s="79" t="s">
        <v>218</v>
      </c>
      <c r="B519" s="80" t="s">
        <v>622</v>
      </c>
      <c r="C519" s="80" t="s">
        <v>718</v>
      </c>
      <c r="D519" s="80"/>
      <c r="E519" s="80"/>
      <c r="F519" s="80"/>
      <c r="G519" s="80"/>
      <c r="H519" s="80" t="s">
        <v>722</v>
      </c>
      <c r="I519" s="80"/>
      <c r="J519" s="80"/>
      <c r="K519" s="80"/>
      <c r="L519" s="80"/>
      <c r="M519" s="80"/>
      <c r="N519" s="80"/>
      <c r="O519" s="81"/>
      <c r="P519" s="81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3"/>
    </row>
    <row r="520" spans="1:29" ht="46.5" x14ac:dyDescent="0.35">
      <c r="A520" s="165" t="s">
        <v>218</v>
      </c>
      <c r="B520" s="83" t="s">
        <v>622</v>
      </c>
      <c r="C520" s="84" t="s">
        <v>723</v>
      </c>
      <c r="D520" s="84"/>
      <c r="E520" s="85" t="s">
        <v>114</v>
      </c>
      <c r="F520" s="84"/>
      <c r="G520" s="85" t="s">
        <v>72</v>
      </c>
      <c r="H520" s="83" t="s">
        <v>724</v>
      </c>
      <c r="I520" s="84" t="s">
        <v>624</v>
      </c>
      <c r="J520" s="83" t="s">
        <v>43</v>
      </c>
      <c r="K520" s="83" t="s">
        <v>43</v>
      </c>
      <c r="L520" s="118"/>
      <c r="M520" s="83" t="s">
        <v>44</v>
      </c>
      <c r="N520" s="124">
        <v>4800</v>
      </c>
      <c r="O520" s="124">
        <v>960</v>
      </c>
      <c r="P520" s="124"/>
      <c r="Q520" s="87"/>
      <c r="R520" s="87"/>
      <c r="S520" s="78" t="s">
        <v>40</v>
      </c>
      <c r="T520" s="87"/>
      <c r="U520" s="87"/>
      <c r="V520" s="87"/>
      <c r="W520" s="87"/>
      <c r="X520" s="87"/>
      <c r="Y520" s="78" t="s">
        <v>72</v>
      </c>
      <c r="Z520" s="87"/>
      <c r="AA520" s="87"/>
      <c r="AB520" s="87"/>
      <c r="AC520" s="8"/>
    </row>
    <row r="521" spans="1:29" s="2" customFormat="1" ht="31" x14ac:dyDescent="0.35">
      <c r="A521" s="79" t="s">
        <v>218</v>
      </c>
      <c r="B521" s="80" t="s">
        <v>622</v>
      </c>
      <c r="C521" s="80" t="s">
        <v>723</v>
      </c>
      <c r="D521" s="80"/>
      <c r="E521" s="80"/>
      <c r="F521" s="80"/>
      <c r="G521" s="80"/>
      <c r="H521" s="80" t="s">
        <v>725</v>
      </c>
      <c r="I521" s="80"/>
      <c r="J521" s="80"/>
      <c r="K521" s="80"/>
      <c r="L521" s="80"/>
      <c r="M521" s="80"/>
      <c r="N521" s="80"/>
      <c r="O521" s="81"/>
      <c r="P521" s="81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3"/>
    </row>
    <row r="522" spans="1:29" s="2" customFormat="1" ht="31" x14ac:dyDescent="0.35">
      <c r="A522" s="79" t="s">
        <v>218</v>
      </c>
      <c r="B522" s="80" t="s">
        <v>622</v>
      </c>
      <c r="C522" s="80" t="s">
        <v>723</v>
      </c>
      <c r="D522" s="80"/>
      <c r="E522" s="80"/>
      <c r="F522" s="80"/>
      <c r="G522" s="80"/>
      <c r="H522" s="80" t="s">
        <v>726</v>
      </c>
      <c r="I522" s="80"/>
      <c r="J522" s="80"/>
      <c r="K522" s="80"/>
      <c r="L522" s="80"/>
      <c r="M522" s="80"/>
      <c r="N522" s="80"/>
      <c r="O522" s="81"/>
      <c r="P522" s="81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3"/>
    </row>
    <row r="523" spans="1:29" ht="46.5" x14ac:dyDescent="0.35">
      <c r="A523" s="165" t="s">
        <v>218</v>
      </c>
      <c r="B523" s="83" t="s">
        <v>622</v>
      </c>
      <c r="C523" s="84" t="s">
        <v>727</v>
      </c>
      <c r="D523" s="89" t="s">
        <v>64</v>
      </c>
      <c r="E523" s="84"/>
      <c r="F523" s="84"/>
      <c r="G523" s="84"/>
      <c r="H523" s="83" t="s">
        <v>728</v>
      </c>
      <c r="I523" s="84" t="s">
        <v>624</v>
      </c>
      <c r="J523" s="72" t="s">
        <v>223</v>
      </c>
      <c r="K523" s="88" t="s">
        <v>75</v>
      </c>
      <c r="L523" s="88" t="s">
        <v>66</v>
      </c>
      <c r="M523" s="72" t="s">
        <v>67</v>
      </c>
      <c r="N523" s="86">
        <v>744.48</v>
      </c>
      <c r="O523" s="123">
        <v>0</v>
      </c>
      <c r="P523" s="123"/>
      <c r="Q523" s="93" t="s">
        <v>100</v>
      </c>
      <c r="R523" s="93" t="s">
        <v>100</v>
      </c>
      <c r="S523" s="93" t="s">
        <v>100</v>
      </c>
      <c r="T523" s="93" t="s">
        <v>100</v>
      </c>
      <c r="U523" s="93" t="s">
        <v>100</v>
      </c>
      <c r="V523" s="93" t="s">
        <v>100</v>
      </c>
      <c r="W523" s="207" t="s">
        <v>99</v>
      </c>
      <c r="X523" s="255" t="s">
        <v>100</v>
      </c>
      <c r="Y523" s="207" t="s">
        <v>99</v>
      </c>
      <c r="Z523" s="207" t="s">
        <v>99</v>
      </c>
      <c r="AA523" s="207" t="s">
        <v>99</v>
      </c>
      <c r="AB523" s="207" t="s">
        <v>99</v>
      </c>
      <c r="AC523" s="8"/>
    </row>
    <row r="524" spans="1:29" s="2" customFormat="1" ht="31" x14ac:dyDescent="0.35">
      <c r="A524" s="79" t="s">
        <v>218</v>
      </c>
      <c r="B524" s="80" t="s">
        <v>622</v>
      </c>
      <c r="C524" s="80" t="s">
        <v>727</v>
      </c>
      <c r="D524" s="80"/>
      <c r="E524" s="80"/>
      <c r="F524" s="80"/>
      <c r="G524" s="80"/>
      <c r="H524" s="80" t="s">
        <v>729</v>
      </c>
      <c r="I524" s="80"/>
      <c r="J524" s="80"/>
      <c r="K524" s="80"/>
      <c r="L524" s="80"/>
      <c r="M524" s="80"/>
      <c r="N524" s="80"/>
      <c r="O524" s="81"/>
      <c r="P524" s="81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3"/>
    </row>
    <row r="525" spans="1:29" s="2" customFormat="1" ht="31" x14ac:dyDescent="0.35">
      <c r="A525" s="79" t="s">
        <v>218</v>
      </c>
      <c r="B525" s="80" t="s">
        <v>622</v>
      </c>
      <c r="C525" s="80" t="s">
        <v>727</v>
      </c>
      <c r="D525" s="80"/>
      <c r="E525" s="80"/>
      <c r="F525" s="80"/>
      <c r="G525" s="80"/>
      <c r="H525" s="80" t="s">
        <v>730</v>
      </c>
      <c r="I525" s="80"/>
      <c r="J525" s="80"/>
      <c r="K525" s="80"/>
      <c r="L525" s="80"/>
      <c r="M525" s="80"/>
      <c r="N525" s="80"/>
      <c r="O525" s="81"/>
      <c r="P525" s="81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3"/>
    </row>
    <row r="526" spans="1:29" ht="46.5" x14ac:dyDescent="0.35">
      <c r="A526" s="165" t="s">
        <v>218</v>
      </c>
      <c r="B526" s="83" t="s">
        <v>622</v>
      </c>
      <c r="C526" s="136" t="s">
        <v>731</v>
      </c>
      <c r="D526" s="137" t="s">
        <v>99</v>
      </c>
      <c r="E526" s="136"/>
      <c r="F526" s="136"/>
      <c r="G526" s="136"/>
      <c r="H526" s="83" t="s">
        <v>177</v>
      </c>
      <c r="I526" s="84" t="s">
        <v>561</v>
      </c>
      <c r="J526" s="83" t="s">
        <v>179</v>
      </c>
      <c r="K526" s="83" t="s">
        <v>75</v>
      </c>
      <c r="L526" s="83"/>
      <c r="M526" s="83"/>
      <c r="N526" s="86" t="s">
        <v>44</v>
      </c>
      <c r="O526" s="86" t="s">
        <v>44</v>
      </c>
      <c r="P526" s="86"/>
      <c r="Q526" s="93" t="s">
        <v>100</v>
      </c>
      <c r="R526" s="93" t="s">
        <v>100</v>
      </c>
      <c r="S526" s="93" t="s">
        <v>100</v>
      </c>
      <c r="T526" s="93" t="s">
        <v>100</v>
      </c>
      <c r="U526" s="93" t="s">
        <v>100</v>
      </c>
      <c r="V526" s="93" t="s">
        <v>100</v>
      </c>
      <c r="W526" s="93" t="s">
        <v>100</v>
      </c>
      <c r="X526" s="93" t="s">
        <v>100</v>
      </c>
      <c r="Y526" s="93" t="s">
        <v>100</v>
      </c>
      <c r="Z526" s="93" t="s">
        <v>100</v>
      </c>
      <c r="AA526" s="93" t="s">
        <v>100</v>
      </c>
      <c r="AB526" s="93" t="s">
        <v>100</v>
      </c>
      <c r="AC526" s="8"/>
    </row>
    <row r="527" spans="1:29" s="2" customFormat="1" ht="46.5" x14ac:dyDescent="0.35">
      <c r="A527" s="79" t="s">
        <v>218</v>
      </c>
      <c r="B527" s="80" t="s">
        <v>622</v>
      </c>
      <c r="C527" s="80" t="s">
        <v>731</v>
      </c>
      <c r="D527" s="80"/>
      <c r="E527" s="80"/>
      <c r="F527" s="80"/>
      <c r="G527" s="80"/>
      <c r="H527" s="80" t="s">
        <v>732</v>
      </c>
      <c r="I527" s="80"/>
      <c r="J527" s="80"/>
      <c r="K527" s="80"/>
      <c r="L527" s="80"/>
      <c r="M527" s="80"/>
      <c r="N527" s="80"/>
      <c r="O527" s="81"/>
      <c r="P527" s="81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3"/>
    </row>
    <row r="528" spans="1:29" ht="46.5" x14ac:dyDescent="0.35">
      <c r="A528" s="83" t="s">
        <v>218</v>
      </c>
      <c r="B528" s="83" t="s">
        <v>622</v>
      </c>
      <c r="C528" s="84" t="s">
        <v>733</v>
      </c>
      <c r="D528" s="84"/>
      <c r="E528" s="98" t="s">
        <v>99</v>
      </c>
      <c r="F528" s="84"/>
      <c r="G528" s="98"/>
      <c r="H528" s="83" t="s">
        <v>734</v>
      </c>
      <c r="I528" s="84" t="s">
        <v>624</v>
      </c>
      <c r="J528" s="88" t="s">
        <v>43</v>
      </c>
      <c r="K528" s="88" t="s">
        <v>43</v>
      </c>
      <c r="L528" s="88"/>
      <c r="M528" s="83" t="s">
        <v>44</v>
      </c>
      <c r="N528" s="86">
        <v>2419.56</v>
      </c>
      <c r="O528" s="86">
        <v>1920</v>
      </c>
      <c r="P528" s="86"/>
      <c r="Q528" s="93" t="s">
        <v>68</v>
      </c>
      <c r="R528" s="87"/>
      <c r="S528" s="87"/>
      <c r="T528" s="78" t="s">
        <v>64</v>
      </c>
      <c r="U528" s="87"/>
      <c r="V528" s="87"/>
      <c r="W528" s="78" t="s">
        <v>72</v>
      </c>
      <c r="X528" s="87"/>
      <c r="Y528" s="87"/>
      <c r="Z528" s="93" t="s">
        <v>68</v>
      </c>
      <c r="AA528" s="93" t="s">
        <v>86</v>
      </c>
      <c r="AB528" s="167"/>
      <c r="AC528" s="9"/>
    </row>
    <row r="529" spans="1:29" ht="46.5" x14ac:dyDescent="0.35">
      <c r="A529" s="83" t="s">
        <v>218</v>
      </c>
      <c r="B529" s="83" t="s">
        <v>622</v>
      </c>
      <c r="C529" s="84" t="s">
        <v>735</v>
      </c>
      <c r="D529" s="92" t="s">
        <v>72</v>
      </c>
      <c r="E529" s="84"/>
      <c r="F529" s="84"/>
      <c r="G529" s="84"/>
      <c r="H529" s="83" t="s">
        <v>736</v>
      </c>
      <c r="I529" s="84" t="s">
        <v>624</v>
      </c>
      <c r="J529" s="88" t="s">
        <v>43</v>
      </c>
      <c r="K529" s="88" t="s">
        <v>43</v>
      </c>
      <c r="L529" s="88" t="s">
        <v>66</v>
      </c>
      <c r="M529" s="83" t="s">
        <v>44</v>
      </c>
      <c r="N529" s="83"/>
      <c r="O529" s="123" t="s">
        <v>737</v>
      </c>
      <c r="P529" s="123"/>
      <c r="Q529" s="87"/>
      <c r="R529" s="87"/>
      <c r="S529" s="87"/>
      <c r="T529" s="87"/>
      <c r="U529" s="78" t="s">
        <v>72</v>
      </c>
      <c r="V529" s="87"/>
      <c r="W529" s="87"/>
      <c r="X529" s="87"/>
      <c r="Y529" s="87"/>
      <c r="Z529" s="87"/>
      <c r="AA529" s="87"/>
      <c r="AB529" s="87"/>
      <c r="AC529" s="8"/>
    </row>
    <row r="530" spans="1:29" ht="46.5" x14ac:dyDescent="0.35">
      <c r="A530" s="83" t="s">
        <v>218</v>
      </c>
      <c r="B530" s="83" t="s">
        <v>622</v>
      </c>
      <c r="C530" s="84" t="s">
        <v>738</v>
      </c>
      <c r="D530" s="92" t="s">
        <v>114</v>
      </c>
      <c r="E530" s="84"/>
      <c r="F530" s="84"/>
      <c r="G530" s="84"/>
      <c r="H530" s="83" t="s">
        <v>739</v>
      </c>
      <c r="I530" s="84" t="s">
        <v>624</v>
      </c>
      <c r="J530" s="88" t="s">
        <v>384</v>
      </c>
      <c r="K530" s="88" t="s">
        <v>75</v>
      </c>
      <c r="L530" s="88"/>
      <c r="M530" s="83"/>
      <c r="N530" s="86" t="s">
        <v>740</v>
      </c>
      <c r="O530" s="86" t="s">
        <v>740</v>
      </c>
      <c r="P530" s="86"/>
      <c r="Q530" s="87"/>
      <c r="R530" s="87"/>
      <c r="S530" s="93" t="s">
        <v>86</v>
      </c>
      <c r="T530" s="87"/>
      <c r="U530" s="87"/>
      <c r="V530" s="87"/>
      <c r="W530" s="87"/>
      <c r="X530" s="87"/>
      <c r="Y530" s="93" t="s">
        <v>45</v>
      </c>
      <c r="Z530" s="87"/>
      <c r="AA530" s="87"/>
      <c r="AB530" s="87"/>
      <c r="AC530" s="8"/>
    </row>
    <row r="531" spans="1:29" ht="46.5" x14ac:dyDescent="0.35">
      <c r="A531" s="83" t="s">
        <v>218</v>
      </c>
      <c r="B531" s="83" t="s">
        <v>622</v>
      </c>
      <c r="C531" s="84" t="s">
        <v>738</v>
      </c>
      <c r="D531" s="92" t="s">
        <v>99</v>
      </c>
      <c r="E531" s="84"/>
      <c r="F531" s="84"/>
      <c r="G531" s="84"/>
      <c r="H531" s="83" t="s">
        <v>739</v>
      </c>
      <c r="I531" s="84" t="s">
        <v>624</v>
      </c>
      <c r="J531" s="72" t="s">
        <v>223</v>
      </c>
      <c r="K531" s="88" t="s">
        <v>75</v>
      </c>
      <c r="L531" s="88" t="s">
        <v>66</v>
      </c>
      <c r="M531" s="72" t="s">
        <v>67</v>
      </c>
      <c r="N531" s="86">
        <v>0</v>
      </c>
      <c r="O531" s="86">
        <v>0</v>
      </c>
      <c r="P531" s="86"/>
      <c r="Q531" s="209" t="s">
        <v>100</v>
      </c>
      <c r="R531" s="93" t="s">
        <v>100</v>
      </c>
      <c r="S531" s="93" t="s">
        <v>100</v>
      </c>
      <c r="T531" s="93" t="s">
        <v>100</v>
      </c>
      <c r="U531" s="93" t="s">
        <v>100</v>
      </c>
      <c r="V531" s="97" t="s">
        <v>99</v>
      </c>
      <c r="W531" s="97" t="s">
        <v>99</v>
      </c>
      <c r="X531" s="97" t="s">
        <v>99</v>
      </c>
      <c r="Y531" s="97" t="s">
        <v>99</v>
      </c>
      <c r="Z531" s="97" t="s">
        <v>99</v>
      </c>
      <c r="AA531" s="97" t="s">
        <v>99</v>
      </c>
      <c r="AB531" s="97" t="s">
        <v>99</v>
      </c>
      <c r="AC531" s="8"/>
    </row>
    <row r="532" spans="1:29" ht="46.5" x14ac:dyDescent="0.35">
      <c r="A532" s="83" t="s">
        <v>218</v>
      </c>
      <c r="B532" s="83" t="s">
        <v>622</v>
      </c>
      <c r="C532" s="84"/>
      <c r="D532" s="92"/>
      <c r="E532" s="84"/>
      <c r="F532" s="84"/>
      <c r="G532" s="84"/>
      <c r="H532" s="83" t="s">
        <v>583</v>
      </c>
      <c r="I532" s="84" t="s">
        <v>624</v>
      </c>
      <c r="J532" s="72" t="s">
        <v>223</v>
      </c>
      <c r="K532" s="88" t="s">
        <v>75</v>
      </c>
      <c r="L532" s="88" t="s">
        <v>66</v>
      </c>
      <c r="M532" s="72" t="s">
        <v>67</v>
      </c>
      <c r="N532" s="86"/>
      <c r="O532" s="86"/>
      <c r="P532" s="86"/>
      <c r="Q532" s="205" t="s">
        <v>100</v>
      </c>
      <c r="R532" s="93" t="s">
        <v>100</v>
      </c>
      <c r="S532" s="93" t="s">
        <v>100</v>
      </c>
      <c r="T532" s="93" t="s">
        <v>100</v>
      </c>
      <c r="U532" s="93" t="s">
        <v>100</v>
      </c>
      <c r="V532" s="93" t="s">
        <v>100</v>
      </c>
      <c r="W532" s="93" t="s">
        <v>100</v>
      </c>
      <c r="X532" s="207" t="s">
        <v>99</v>
      </c>
      <c r="Y532" s="207" t="s">
        <v>99</v>
      </c>
      <c r="Z532" s="207" t="s">
        <v>99</v>
      </c>
      <c r="AA532" s="207" t="s">
        <v>99</v>
      </c>
      <c r="AB532" s="207" t="s">
        <v>99</v>
      </c>
      <c r="AC532" s="8"/>
    </row>
    <row r="533" spans="1:29" ht="46.5" x14ac:dyDescent="0.35">
      <c r="A533" s="83" t="s">
        <v>218</v>
      </c>
      <c r="B533" s="83" t="s">
        <v>622</v>
      </c>
      <c r="C533" s="84" t="s">
        <v>741</v>
      </c>
      <c r="D533" s="92" t="s">
        <v>72</v>
      </c>
      <c r="E533" s="84"/>
      <c r="F533" s="84"/>
      <c r="G533" s="84"/>
      <c r="H533" s="83" t="s">
        <v>742</v>
      </c>
      <c r="I533" s="84" t="s">
        <v>624</v>
      </c>
      <c r="J533" s="72" t="s">
        <v>223</v>
      </c>
      <c r="K533" s="88" t="s">
        <v>75</v>
      </c>
      <c r="L533" s="88" t="s">
        <v>66</v>
      </c>
      <c r="M533" s="72" t="s">
        <v>67</v>
      </c>
      <c r="N533" s="86">
        <v>0</v>
      </c>
      <c r="O533" s="86">
        <v>0</v>
      </c>
      <c r="P533" s="86"/>
      <c r="Q533" s="87"/>
      <c r="R533" s="87"/>
      <c r="S533" s="87"/>
      <c r="T533" s="87"/>
      <c r="U533" s="87"/>
      <c r="V533" s="87"/>
      <c r="W533" s="87"/>
      <c r="X533" s="93" t="s">
        <v>86</v>
      </c>
      <c r="Y533" s="87"/>
      <c r="Z533" s="87"/>
      <c r="AA533" s="87"/>
      <c r="AB533" s="87"/>
      <c r="AC533" s="8"/>
    </row>
    <row r="534" spans="1:29" ht="46.5" x14ac:dyDescent="0.35">
      <c r="A534" s="83" t="s">
        <v>218</v>
      </c>
      <c r="B534" s="83" t="s">
        <v>622</v>
      </c>
      <c r="C534" s="84" t="s">
        <v>743</v>
      </c>
      <c r="D534" s="84"/>
      <c r="E534" s="98" t="s">
        <v>114</v>
      </c>
      <c r="F534" s="84"/>
      <c r="G534" s="98" t="s">
        <v>72</v>
      </c>
      <c r="H534" s="83" t="s">
        <v>744</v>
      </c>
      <c r="I534" s="84" t="s">
        <v>624</v>
      </c>
      <c r="J534" s="88" t="s">
        <v>43</v>
      </c>
      <c r="K534" s="88" t="s">
        <v>43</v>
      </c>
      <c r="L534" s="118"/>
      <c r="M534" s="83" t="s">
        <v>44</v>
      </c>
      <c r="N534" s="124" t="s">
        <v>672</v>
      </c>
      <c r="O534" s="123" t="s">
        <v>737</v>
      </c>
      <c r="P534" s="123"/>
      <c r="Q534" s="87"/>
      <c r="R534" s="87"/>
      <c r="S534" s="78" t="s">
        <v>40</v>
      </c>
      <c r="T534" s="87"/>
      <c r="U534" s="87"/>
      <c r="V534" s="87"/>
      <c r="W534" s="87"/>
      <c r="X534" s="87"/>
      <c r="Y534" s="78" t="s">
        <v>72</v>
      </c>
      <c r="Z534" s="87"/>
      <c r="AA534" s="87"/>
      <c r="AB534" s="87"/>
      <c r="AC534" s="8"/>
    </row>
    <row r="535" spans="1:29" ht="46.5" x14ac:dyDescent="0.35">
      <c r="A535" s="83" t="s">
        <v>218</v>
      </c>
      <c r="B535" s="83" t="s">
        <v>622</v>
      </c>
      <c r="C535" s="84" t="s">
        <v>745</v>
      </c>
      <c r="D535" s="84"/>
      <c r="E535" s="98" t="s">
        <v>207</v>
      </c>
      <c r="F535" s="84"/>
      <c r="G535" s="98" t="s">
        <v>207</v>
      </c>
      <c r="H535" s="83" t="s">
        <v>746</v>
      </c>
      <c r="I535" s="84" t="s">
        <v>624</v>
      </c>
      <c r="J535" s="88" t="s">
        <v>43</v>
      </c>
      <c r="K535" s="88" t="s">
        <v>43</v>
      </c>
      <c r="L535" s="88"/>
      <c r="M535" s="83" t="s">
        <v>44</v>
      </c>
      <c r="N535" s="86">
        <v>372.24</v>
      </c>
      <c r="O535" s="86">
        <v>420</v>
      </c>
      <c r="P535" s="86"/>
      <c r="Q535" s="87"/>
      <c r="R535" s="87"/>
      <c r="S535" s="87"/>
      <c r="T535" s="87"/>
      <c r="U535" s="87"/>
      <c r="V535" s="87"/>
      <c r="W535" s="93" t="s">
        <v>86</v>
      </c>
      <c r="X535" s="87"/>
      <c r="Y535" s="87"/>
      <c r="Z535" s="87"/>
      <c r="AA535" s="87"/>
      <c r="AB535" s="87"/>
      <c r="AC535" s="8"/>
    </row>
    <row r="536" spans="1:29" ht="46.5" x14ac:dyDescent="0.35">
      <c r="A536" s="83" t="s">
        <v>218</v>
      </c>
      <c r="B536" s="83" t="s">
        <v>622</v>
      </c>
      <c r="C536" s="84" t="s">
        <v>745</v>
      </c>
      <c r="D536" s="84"/>
      <c r="E536" s="98" t="s">
        <v>207</v>
      </c>
      <c r="F536" s="84"/>
      <c r="G536" s="98" t="s">
        <v>207</v>
      </c>
      <c r="H536" s="83" t="s">
        <v>746</v>
      </c>
      <c r="I536" s="84" t="s">
        <v>624</v>
      </c>
      <c r="J536" s="72" t="s">
        <v>223</v>
      </c>
      <c r="K536" s="88" t="s">
        <v>75</v>
      </c>
      <c r="L536" s="88" t="s">
        <v>66</v>
      </c>
      <c r="M536" s="72" t="s">
        <v>67</v>
      </c>
      <c r="N536" s="76">
        <v>0</v>
      </c>
      <c r="O536" s="86">
        <v>0</v>
      </c>
      <c r="P536" s="86"/>
      <c r="Q536" s="93" t="s">
        <v>100</v>
      </c>
      <c r="R536" s="93" t="s">
        <v>100</v>
      </c>
      <c r="S536" s="93" t="s">
        <v>100</v>
      </c>
      <c r="T536" s="93" t="s">
        <v>100</v>
      </c>
      <c r="U536" s="93" t="s">
        <v>100</v>
      </c>
      <c r="V536" s="93" t="s">
        <v>100</v>
      </c>
      <c r="W536" s="93" t="s">
        <v>100</v>
      </c>
      <c r="X536" s="93" t="s">
        <v>100</v>
      </c>
      <c r="Y536" s="93" t="s">
        <v>100</v>
      </c>
      <c r="Z536" s="97" t="s">
        <v>99</v>
      </c>
      <c r="AA536" s="97" t="s">
        <v>99</v>
      </c>
      <c r="AB536" s="97" t="s">
        <v>99</v>
      </c>
      <c r="AC536" s="8"/>
    </row>
    <row r="537" spans="1:29" ht="46.5" x14ac:dyDescent="0.35">
      <c r="A537" s="83" t="s">
        <v>218</v>
      </c>
      <c r="B537" s="83" t="s">
        <v>622</v>
      </c>
      <c r="C537" s="84" t="s">
        <v>747</v>
      </c>
      <c r="D537" s="92" t="s">
        <v>114</v>
      </c>
      <c r="E537" s="84"/>
      <c r="F537" s="84"/>
      <c r="G537" s="84"/>
      <c r="H537" s="83" t="s">
        <v>748</v>
      </c>
      <c r="I537" s="84" t="s">
        <v>624</v>
      </c>
      <c r="J537" s="88" t="s">
        <v>43</v>
      </c>
      <c r="K537" s="88" t="s">
        <v>43</v>
      </c>
      <c r="L537" s="83"/>
      <c r="M537" s="83" t="s">
        <v>44</v>
      </c>
      <c r="N537" s="86"/>
      <c r="O537" s="123"/>
      <c r="P537" s="123"/>
      <c r="Q537" s="87"/>
      <c r="R537" s="78" t="s">
        <v>72</v>
      </c>
      <c r="S537" s="87"/>
      <c r="T537" s="87"/>
      <c r="U537" s="87"/>
      <c r="V537" s="87"/>
      <c r="W537" s="87"/>
      <c r="X537" s="93" t="s">
        <v>45</v>
      </c>
      <c r="Y537" s="87"/>
      <c r="Z537" s="87"/>
      <c r="AA537" s="87"/>
      <c r="AB537" s="87"/>
      <c r="AC537" s="8"/>
    </row>
    <row r="538" spans="1:29" ht="46.5" x14ac:dyDescent="0.35">
      <c r="A538" s="83" t="s">
        <v>218</v>
      </c>
      <c r="B538" s="83" t="s">
        <v>622</v>
      </c>
      <c r="C538" s="84" t="s">
        <v>749</v>
      </c>
      <c r="D538" s="92" t="s">
        <v>99</v>
      </c>
      <c r="E538" s="98" t="s">
        <v>72</v>
      </c>
      <c r="F538" s="84"/>
      <c r="G538" s="84"/>
      <c r="H538" s="83" t="s">
        <v>750</v>
      </c>
      <c r="I538" s="84" t="s">
        <v>624</v>
      </c>
      <c r="J538" s="88" t="s">
        <v>43</v>
      </c>
      <c r="K538" s="88" t="s">
        <v>43</v>
      </c>
      <c r="L538" s="88" t="s">
        <v>66</v>
      </c>
      <c r="M538" s="83" t="s">
        <v>44</v>
      </c>
      <c r="N538" s="86">
        <v>0</v>
      </c>
      <c r="O538" s="86">
        <v>0</v>
      </c>
      <c r="P538" s="86"/>
      <c r="Q538" s="87"/>
      <c r="R538" s="93" t="s">
        <v>86</v>
      </c>
      <c r="S538" s="87"/>
      <c r="T538" s="87"/>
      <c r="U538" s="87"/>
      <c r="V538" s="87"/>
      <c r="W538" s="87"/>
      <c r="X538" s="93" t="s">
        <v>86</v>
      </c>
      <c r="Y538" s="87"/>
      <c r="Z538" s="87"/>
      <c r="AA538" s="87"/>
      <c r="AB538" s="87"/>
      <c r="AC538" s="8"/>
    </row>
    <row r="539" spans="1:29" ht="46.5" x14ac:dyDescent="0.35">
      <c r="A539" s="83" t="s">
        <v>218</v>
      </c>
      <c r="B539" s="83" t="s">
        <v>622</v>
      </c>
      <c r="C539" s="84" t="s">
        <v>751</v>
      </c>
      <c r="D539" s="84"/>
      <c r="E539" s="98" t="s">
        <v>72</v>
      </c>
      <c r="F539" s="84"/>
      <c r="G539" s="98" t="s">
        <v>72</v>
      </c>
      <c r="H539" s="83" t="s">
        <v>752</v>
      </c>
      <c r="I539" s="84" t="s">
        <v>624</v>
      </c>
      <c r="J539" s="88" t="s">
        <v>105</v>
      </c>
      <c r="K539" s="88" t="s">
        <v>43</v>
      </c>
      <c r="L539" s="83"/>
      <c r="M539" s="83" t="s">
        <v>44</v>
      </c>
      <c r="N539" s="86">
        <v>380</v>
      </c>
      <c r="O539" s="86">
        <v>490</v>
      </c>
      <c r="P539" s="86"/>
      <c r="Q539" s="87"/>
      <c r="R539" s="87"/>
      <c r="S539" s="87"/>
      <c r="T539" s="87"/>
      <c r="U539" s="93" t="s">
        <v>86</v>
      </c>
      <c r="V539" s="87"/>
      <c r="W539" s="87"/>
      <c r="X539" s="87"/>
      <c r="Y539" s="87"/>
      <c r="Z539" s="87"/>
      <c r="AA539" s="87"/>
      <c r="AB539" s="87"/>
      <c r="AC539" s="8"/>
    </row>
    <row r="540" spans="1:29" ht="46.5" x14ac:dyDescent="0.35">
      <c r="A540" s="83" t="s">
        <v>218</v>
      </c>
      <c r="B540" s="83" t="s">
        <v>622</v>
      </c>
      <c r="C540" s="84" t="s">
        <v>753</v>
      </c>
      <c r="D540" s="84"/>
      <c r="E540" s="98" t="s">
        <v>72</v>
      </c>
      <c r="F540" s="84"/>
      <c r="G540" s="98" t="s">
        <v>72</v>
      </c>
      <c r="H540" s="83" t="s">
        <v>754</v>
      </c>
      <c r="I540" s="84" t="s">
        <v>624</v>
      </c>
      <c r="J540" s="88" t="s">
        <v>105</v>
      </c>
      <c r="K540" s="88" t="s">
        <v>43</v>
      </c>
      <c r="L540" s="83"/>
      <c r="M540" s="83" t="s">
        <v>44</v>
      </c>
      <c r="N540" s="86">
        <v>380</v>
      </c>
      <c r="O540" s="86" t="s">
        <v>707</v>
      </c>
      <c r="P540" s="86"/>
      <c r="Q540" s="87"/>
      <c r="R540" s="87"/>
      <c r="S540" s="87"/>
      <c r="T540" s="87"/>
      <c r="U540" s="93" t="s">
        <v>86</v>
      </c>
      <c r="V540" s="87"/>
      <c r="W540" s="87"/>
      <c r="X540" s="87"/>
      <c r="Y540" s="87"/>
      <c r="Z540" s="87"/>
      <c r="AA540" s="87"/>
      <c r="AB540" s="87"/>
      <c r="AC540" s="8"/>
    </row>
    <row r="541" spans="1:29" ht="31" x14ac:dyDescent="0.35">
      <c r="A541" s="83" t="s">
        <v>755</v>
      </c>
      <c r="B541" s="83" t="s">
        <v>219</v>
      </c>
      <c r="C541" s="84"/>
      <c r="D541" s="84"/>
      <c r="E541" s="84"/>
      <c r="F541" s="84"/>
      <c r="G541" s="84"/>
      <c r="H541" s="83" t="s">
        <v>756</v>
      </c>
      <c r="I541" s="84"/>
      <c r="J541" s="88"/>
      <c r="K541" s="88"/>
      <c r="L541" s="83"/>
      <c r="M541" s="83"/>
      <c r="N541" s="111"/>
      <c r="O541" s="86"/>
      <c r="P541" s="86"/>
      <c r="Q541" s="87"/>
      <c r="R541" s="87"/>
      <c r="S541" s="87"/>
      <c r="T541" s="87"/>
      <c r="U541" s="93" t="s">
        <v>86</v>
      </c>
      <c r="V541" s="87"/>
      <c r="W541" s="87"/>
      <c r="X541" s="87"/>
      <c r="Y541" s="87"/>
      <c r="Z541" s="87"/>
      <c r="AA541" s="87"/>
      <c r="AB541" s="87"/>
      <c r="AC541" s="8"/>
    </row>
    <row r="542" spans="1:29" ht="46.5" x14ac:dyDescent="0.35">
      <c r="A542" s="83" t="s">
        <v>218</v>
      </c>
      <c r="B542" s="83" t="s">
        <v>622</v>
      </c>
      <c r="C542" s="84" t="s">
        <v>757</v>
      </c>
      <c r="D542" s="92" t="s">
        <v>72</v>
      </c>
      <c r="E542" s="84"/>
      <c r="F542" s="84"/>
      <c r="G542" s="84"/>
      <c r="H542" s="83" t="s">
        <v>758</v>
      </c>
      <c r="I542" s="84" t="s">
        <v>624</v>
      </c>
      <c r="J542" s="88" t="s">
        <v>43</v>
      </c>
      <c r="K542" s="88" t="s">
        <v>43</v>
      </c>
      <c r="L542" s="88" t="s">
        <v>66</v>
      </c>
      <c r="M542" s="83" t="s">
        <v>44</v>
      </c>
      <c r="N542" s="140" t="s">
        <v>83</v>
      </c>
      <c r="O542" s="123">
        <v>0</v>
      </c>
      <c r="P542" s="123"/>
      <c r="Q542" s="87"/>
      <c r="R542" s="87"/>
      <c r="S542" s="87"/>
      <c r="T542" s="87"/>
      <c r="U542" s="87"/>
      <c r="V542" s="87"/>
      <c r="W542" s="87"/>
      <c r="X542" s="78" t="s">
        <v>72</v>
      </c>
      <c r="Y542" s="87"/>
      <c r="Z542" s="87"/>
      <c r="AA542" s="87"/>
      <c r="AB542" s="87"/>
      <c r="AC542" s="8"/>
    </row>
    <row r="543" spans="1:29" ht="46.5" x14ac:dyDescent="0.35">
      <c r="A543" s="83" t="s">
        <v>218</v>
      </c>
      <c r="B543" s="83" t="s">
        <v>622</v>
      </c>
      <c r="C543" s="84" t="s">
        <v>759</v>
      </c>
      <c r="D543" s="84"/>
      <c r="E543" s="98" t="s">
        <v>72</v>
      </c>
      <c r="F543" s="84"/>
      <c r="G543" s="84"/>
      <c r="H543" s="83" t="s">
        <v>760</v>
      </c>
      <c r="I543" s="84" t="s">
        <v>624</v>
      </c>
      <c r="J543" s="83" t="s">
        <v>761</v>
      </c>
      <c r="K543" s="83" t="s">
        <v>75</v>
      </c>
      <c r="L543" s="83"/>
      <c r="M543" s="83" t="s">
        <v>762</v>
      </c>
      <c r="N543" s="86" t="s">
        <v>763</v>
      </c>
      <c r="O543" s="86">
        <v>463.52</v>
      </c>
      <c r="P543" s="86"/>
      <c r="Q543" s="87"/>
      <c r="R543" s="87"/>
      <c r="S543" s="93" t="s">
        <v>68</v>
      </c>
      <c r="T543" s="87"/>
      <c r="U543" s="87"/>
      <c r="V543" s="93" t="s">
        <v>68</v>
      </c>
      <c r="W543" s="87"/>
      <c r="X543" s="87"/>
      <c r="Y543" s="93" t="s">
        <v>68</v>
      </c>
      <c r="Z543" s="87"/>
      <c r="AA543" s="87"/>
      <c r="AB543" s="78" t="s">
        <v>64</v>
      </c>
      <c r="AC543" s="8"/>
    </row>
    <row r="544" spans="1:29" ht="46.5" x14ac:dyDescent="0.35">
      <c r="A544" s="83" t="s">
        <v>218</v>
      </c>
      <c r="B544" s="83" t="s">
        <v>622</v>
      </c>
      <c r="C544" s="84" t="s">
        <v>764</v>
      </c>
      <c r="D544" s="92" t="s">
        <v>114</v>
      </c>
      <c r="E544" s="84"/>
      <c r="F544" s="84"/>
      <c r="G544" s="84"/>
      <c r="H544" s="83" t="s">
        <v>765</v>
      </c>
      <c r="I544" s="84" t="s">
        <v>624</v>
      </c>
      <c r="J544" s="88" t="s">
        <v>43</v>
      </c>
      <c r="K544" s="88" t="s">
        <v>43</v>
      </c>
      <c r="L544" s="118"/>
      <c r="M544" s="83" t="s">
        <v>44</v>
      </c>
      <c r="N544" s="124">
        <v>251</v>
      </c>
      <c r="O544" s="168">
        <v>0</v>
      </c>
      <c r="P544" s="168"/>
      <c r="Q544" s="87"/>
      <c r="R544" s="87"/>
      <c r="S544" s="78" t="s">
        <v>72</v>
      </c>
      <c r="T544" s="87"/>
      <c r="U544" s="87"/>
      <c r="V544" s="87"/>
      <c r="W544" s="87"/>
      <c r="X544" s="87"/>
      <c r="Y544" s="78" t="s">
        <v>40</v>
      </c>
      <c r="Z544" s="87"/>
      <c r="AA544" s="87"/>
      <c r="AB544" s="87"/>
      <c r="AC544" s="8"/>
    </row>
    <row r="545" spans="1:29" ht="46.5" x14ac:dyDescent="0.35">
      <c r="A545" s="83" t="s">
        <v>218</v>
      </c>
      <c r="B545" s="83" t="s">
        <v>622</v>
      </c>
      <c r="C545" s="84" t="s">
        <v>766</v>
      </c>
      <c r="D545" s="84"/>
      <c r="E545" s="98" t="s">
        <v>72</v>
      </c>
      <c r="F545" s="84"/>
      <c r="G545" s="98" t="s">
        <v>72</v>
      </c>
      <c r="H545" s="83" t="s">
        <v>767</v>
      </c>
      <c r="I545" s="84" t="s">
        <v>624</v>
      </c>
      <c r="J545" s="83" t="s">
        <v>592</v>
      </c>
      <c r="K545" s="88" t="s">
        <v>43</v>
      </c>
      <c r="L545" s="83"/>
      <c r="M545" s="83" t="s">
        <v>768</v>
      </c>
      <c r="N545" s="86">
        <v>460</v>
      </c>
      <c r="O545" s="123">
        <v>0</v>
      </c>
      <c r="P545" s="123"/>
      <c r="Q545" s="87"/>
      <c r="R545" s="87"/>
      <c r="S545" s="87"/>
      <c r="T545" s="87"/>
      <c r="U545" s="87"/>
      <c r="V545" s="87"/>
      <c r="W545" s="87"/>
      <c r="X545" s="78" t="s">
        <v>72</v>
      </c>
      <c r="Y545" s="87"/>
      <c r="Z545" s="87"/>
      <c r="AA545" s="87"/>
      <c r="AB545" s="87"/>
      <c r="AC545" s="8"/>
    </row>
    <row r="546" spans="1:29" ht="46.5" x14ac:dyDescent="0.35">
      <c r="A546" s="83" t="s">
        <v>218</v>
      </c>
      <c r="B546" s="83" t="s">
        <v>622</v>
      </c>
      <c r="C546" s="84" t="s">
        <v>769</v>
      </c>
      <c r="D546" s="92" t="s">
        <v>114</v>
      </c>
      <c r="E546" s="84"/>
      <c r="F546" s="84"/>
      <c r="G546" s="84"/>
      <c r="H546" s="83" t="s">
        <v>770</v>
      </c>
      <c r="I546" s="84" t="s">
        <v>624</v>
      </c>
      <c r="J546" s="88" t="s">
        <v>43</v>
      </c>
      <c r="K546" s="88" t="s">
        <v>43</v>
      </c>
      <c r="L546" s="83"/>
      <c r="M546" s="83" t="s">
        <v>44</v>
      </c>
      <c r="N546" s="86" t="s">
        <v>301</v>
      </c>
      <c r="O546" s="123">
        <v>0</v>
      </c>
      <c r="P546" s="123"/>
      <c r="Q546" s="87"/>
      <c r="R546" s="78" t="s">
        <v>72</v>
      </c>
      <c r="S546" s="87"/>
      <c r="T546" s="87"/>
      <c r="U546" s="87"/>
      <c r="V546" s="87"/>
      <c r="W546" s="87"/>
      <c r="X546" s="78" t="s">
        <v>40</v>
      </c>
      <c r="Y546" s="87"/>
      <c r="Z546" s="87"/>
      <c r="AA546" s="87"/>
      <c r="AB546" s="87"/>
      <c r="AC546" s="8"/>
    </row>
    <row r="547" spans="1:29" ht="46.5" x14ac:dyDescent="0.35">
      <c r="A547" s="83" t="s">
        <v>218</v>
      </c>
      <c r="B547" s="83" t="s">
        <v>622</v>
      </c>
      <c r="C547" s="84" t="s">
        <v>771</v>
      </c>
      <c r="D547" s="92" t="s">
        <v>72</v>
      </c>
      <c r="E547" s="84"/>
      <c r="F547" s="84"/>
      <c r="G547" s="84"/>
      <c r="H547" s="83" t="s">
        <v>772</v>
      </c>
      <c r="I547" s="84" t="s">
        <v>624</v>
      </c>
      <c r="J547" s="83" t="s">
        <v>592</v>
      </c>
      <c r="K547" s="88" t="s">
        <v>43</v>
      </c>
      <c r="L547" s="83"/>
      <c r="M547" s="83" t="s">
        <v>768</v>
      </c>
      <c r="N547" s="86">
        <v>460</v>
      </c>
      <c r="O547" s="123">
        <v>0</v>
      </c>
      <c r="P547" s="123"/>
      <c r="Q547" s="87"/>
      <c r="R547" s="87"/>
      <c r="S547" s="87"/>
      <c r="T547" s="87"/>
      <c r="U547" s="87"/>
      <c r="V547" s="87"/>
      <c r="W547" s="87"/>
      <c r="X547" s="78" t="s">
        <v>72</v>
      </c>
      <c r="Y547" s="87"/>
      <c r="Z547" s="87"/>
      <c r="AA547" s="87"/>
      <c r="AB547" s="87"/>
      <c r="AC547" s="8"/>
    </row>
    <row r="548" spans="1:29" ht="46.5" x14ac:dyDescent="0.35">
      <c r="A548" s="83" t="s">
        <v>218</v>
      </c>
      <c r="B548" s="83" t="s">
        <v>622</v>
      </c>
      <c r="C548" s="84" t="s">
        <v>773</v>
      </c>
      <c r="D548" s="84"/>
      <c r="E548" s="98" t="s">
        <v>72</v>
      </c>
      <c r="F548" s="84"/>
      <c r="G548" s="84"/>
      <c r="H548" s="83" t="s">
        <v>774</v>
      </c>
      <c r="I548" s="84" t="s">
        <v>624</v>
      </c>
      <c r="J548" s="88" t="s">
        <v>43</v>
      </c>
      <c r="K548" s="88" t="s">
        <v>43</v>
      </c>
      <c r="L548" s="83"/>
      <c r="M548" s="83" t="s">
        <v>44</v>
      </c>
      <c r="N548" s="124" t="s">
        <v>672</v>
      </c>
      <c r="O548" s="168">
        <v>0</v>
      </c>
      <c r="P548" s="168"/>
      <c r="Q548" s="87"/>
      <c r="R548" s="87"/>
      <c r="S548" s="87"/>
      <c r="T548" s="87"/>
      <c r="U548" s="87"/>
      <c r="V548" s="87"/>
      <c r="W548" s="87"/>
      <c r="X548" s="87"/>
      <c r="Y548" s="78" t="s">
        <v>72</v>
      </c>
      <c r="Z548" s="87"/>
      <c r="AA548" s="87"/>
      <c r="AB548" s="87"/>
      <c r="AC548" s="8"/>
    </row>
    <row r="549" spans="1:29" ht="46.5" x14ac:dyDescent="0.35">
      <c r="A549" s="83" t="s">
        <v>218</v>
      </c>
      <c r="B549" s="83" t="s">
        <v>622</v>
      </c>
      <c r="C549" s="84" t="s">
        <v>775</v>
      </c>
      <c r="D549" s="84"/>
      <c r="E549" s="98" t="s">
        <v>362</v>
      </c>
      <c r="F549" s="92" t="s">
        <v>72</v>
      </c>
      <c r="G549" s="84"/>
      <c r="H549" s="83" t="s">
        <v>776</v>
      </c>
      <c r="I549" s="84" t="s">
        <v>624</v>
      </c>
      <c r="J549" s="88" t="s">
        <v>43</v>
      </c>
      <c r="K549" s="88" t="s">
        <v>43</v>
      </c>
      <c r="L549" s="83"/>
      <c r="M549" s="83" t="s">
        <v>44</v>
      </c>
      <c r="N549" s="124" t="s">
        <v>672</v>
      </c>
      <c r="O549" s="168">
        <v>0</v>
      </c>
      <c r="P549" s="168"/>
      <c r="Q549" s="87"/>
      <c r="R549" s="87"/>
      <c r="S549" s="87"/>
      <c r="T549" s="87"/>
      <c r="U549" s="87"/>
      <c r="V549" s="87"/>
      <c r="W549" s="87"/>
      <c r="X549" s="87"/>
      <c r="Y549" s="78" t="s">
        <v>72</v>
      </c>
      <c r="Z549" s="87"/>
      <c r="AA549" s="87"/>
      <c r="AB549" s="87"/>
      <c r="AC549" s="8"/>
    </row>
    <row r="550" spans="1:29" ht="46.5" x14ac:dyDescent="0.35">
      <c r="A550" s="83" t="s">
        <v>218</v>
      </c>
      <c r="B550" s="83" t="s">
        <v>622</v>
      </c>
      <c r="C550" s="84" t="s">
        <v>777</v>
      </c>
      <c r="D550" s="92" t="s">
        <v>72</v>
      </c>
      <c r="E550" s="84"/>
      <c r="F550" s="84"/>
      <c r="G550" s="84"/>
      <c r="H550" s="83" t="s">
        <v>778</v>
      </c>
      <c r="I550" s="84" t="s">
        <v>624</v>
      </c>
      <c r="J550" s="83" t="s">
        <v>384</v>
      </c>
      <c r="K550" s="83" t="s">
        <v>75</v>
      </c>
      <c r="L550" s="83"/>
      <c r="M550" s="83"/>
      <c r="N550" s="86" t="s">
        <v>740</v>
      </c>
      <c r="O550" s="86" t="s">
        <v>740</v>
      </c>
      <c r="P550" s="86"/>
      <c r="Q550" s="87"/>
      <c r="R550" s="93" t="s">
        <v>86</v>
      </c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8"/>
    </row>
    <row r="551" spans="1:29" ht="77.5" x14ac:dyDescent="0.35">
      <c r="A551" s="83" t="s">
        <v>218</v>
      </c>
      <c r="B551" s="83" t="s">
        <v>622</v>
      </c>
      <c r="C551" s="84" t="s">
        <v>779</v>
      </c>
      <c r="D551" s="101" t="s">
        <v>40</v>
      </c>
      <c r="E551" s="84"/>
      <c r="F551" s="84"/>
      <c r="G551" s="84"/>
      <c r="H551" s="83" t="s">
        <v>780</v>
      </c>
      <c r="I551" s="84" t="s">
        <v>624</v>
      </c>
      <c r="J551" s="83" t="s">
        <v>130</v>
      </c>
      <c r="K551" s="83" t="s">
        <v>75</v>
      </c>
      <c r="L551" s="83"/>
      <c r="M551" s="102" t="s">
        <v>131</v>
      </c>
      <c r="N551" s="103" t="s">
        <v>132</v>
      </c>
      <c r="O551" s="103" t="s">
        <v>132</v>
      </c>
      <c r="P551" s="104"/>
      <c r="Q551" s="99"/>
      <c r="R551" s="191" t="s">
        <v>45</v>
      </c>
      <c r="S551" s="99"/>
      <c r="T551" s="99"/>
      <c r="U551" s="99"/>
      <c r="V551" s="99"/>
      <c r="W551" s="99"/>
      <c r="X551" s="205" t="s">
        <v>45</v>
      </c>
      <c r="Y551" s="99"/>
      <c r="Z551" s="99"/>
      <c r="AA551" s="99"/>
      <c r="AB551" s="99"/>
      <c r="AC551" s="10"/>
    </row>
    <row r="552" spans="1:29" s="2" customFormat="1" ht="31" x14ac:dyDescent="0.35">
      <c r="A552" s="79" t="s">
        <v>781</v>
      </c>
      <c r="B552" s="80" t="s">
        <v>782</v>
      </c>
      <c r="C552" s="80" t="s">
        <v>783</v>
      </c>
      <c r="D552" s="80"/>
      <c r="E552" s="80"/>
      <c r="F552" s="80"/>
      <c r="G552" s="80"/>
      <c r="H552" s="80" t="s">
        <v>784</v>
      </c>
      <c r="I552" s="80"/>
      <c r="J552" s="80"/>
      <c r="K552" s="80"/>
      <c r="L552" s="80"/>
      <c r="M552" s="80"/>
      <c r="N552" s="80"/>
      <c r="O552" s="81"/>
      <c r="P552" s="81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3"/>
    </row>
    <row r="553" spans="1:29" s="2" customFormat="1" ht="31" x14ac:dyDescent="0.35">
      <c r="A553" s="79" t="s">
        <v>781</v>
      </c>
      <c r="B553" s="80" t="s">
        <v>782</v>
      </c>
      <c r="C553" s="80" t="s">
        <v>783</v>
      </c>
      <c r="D553" s="80"/>
      <c r="E553" s="80"/>
      <c r="F553" s="80"/>
      <c r="G553" s="80"/>
      <c r="H553" s="80" t="s">
        <v>785</v>
      </c>
      <c r="I553" s="80"/>
      <c r="J553" s="80"/>
      <c r="K553" s="80"/>
      <c r="L553" s="80"/>
      <c r="M553" s="80"/>
      <c r="N553" s="80"/>
      <c r="O553" s="81"/>
      <c r="P553" s="81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3"/>
    </row>
    <row r="554" spans="1:29" ht="31" x14ac:dyDescent="0.35">
      <c r="A554" s="71" t="s">
        <v>781</v>
      </c>
      <c r="B554" s="83" t="s">
        <v>782</v>
      </c>
      <c r="C554" s="84" t="s">
        <v>783</v>
      </c>
      <c r="D554" s="89" t="s">
        <v>72</v>
      </c>
      <c r="E554" s="84"/>
      <c r="F554" s="84"/>
      <c r="G554" s="84"/>
      <c r="H554" s="83" t="s">
        <v>137</v>
      </c>
      <c r="I554" s="84" t="s">
        <v>786</v>
      </c>
      <c r="J554" s="83" t="s">
        <v>94</v>
      </c>
      <c r="K554" s="83" t="s">
        <v>75</v>
      </c>
      <c r="L554" s="88" t="s">
        <v>66</v>
      </c>
      <c r="M554" s="72" t="s">
        <v>67</v>
      </c>
      <c r="N554" s="86">
        <v>982.13</v>
      </c>
      <c r="O554" s="86">
        <v>0</v>
      </c>
      <c r="P554" s="86"/>
      <c r="Q554" s="87"/>
      <c r="R554" s="87"/>
      <c r="S554" s="87"/>
      <c r="T554" s="87"/>
      <c r="U554" s="93" t="s">
        <v>86</v>
      </c>
      <c r="V554" s="87"/>
      <c r="W554" s="87"/>
      <c r="X554" s="87"/>
      <c r="Y554" s="87"/>
      <c r="Z554" s="87"/>
      <c r="AA554" s="87"/>
      <c r="AB554" s="87"/>
      <c r="AC554" s="8"/>
    </row>
    <row r="555" spans="1:29" ht="31" x14ac:dyDescent="0.35">
      <c r="A555" s="71" t="s">
        <v>781</v>
      </c>
      <c r="B555" s="83" t="s">
        <v>782</v>
      </c>
      <c r="C555" s="84" t="s">
        <v>787</v>
      </c>
      <c r="D555" s="84"/>
      <c r="E555" s="85" t="s">
        <v>40</v>
      </c>
      <c r="F555" s="84"/>
      <c r="G555" s="85" t="s">
        <v>40</v>
      </c>
      <c r="H555" s="83" t="s">
        <v>41</v>
      </c>
      <c r="I555" s="84" t="s">
        <v>786</v>
      </c>
      <c r="J555" s="83" t="s">
        <v>43</v>
      </c>
      <c r="K555" s="83" t="s">
        <v>43</v>
      </c>
      <c r="L555" s="83"/>
      <c r="M555" s="83" t="s">
        <v>44</v>
      </c>
      <c r="N555" s="86">
        <v>1116.72</v>
      </c>
      <c r="O555" s="86">
        <v>1680</v>
      </c>
      <c r="P555" s="86"/>
      <c r="Q555" s="87"/>
      <c r="R555" s="93" t="s">
        <v>45</v>
      </c>
      <c r="S555" s="87"/>
      <c r="T555" s="87"/>
      <c r="U555" s="87"/>
      <c r="V555" s="87"/>
      <c r="W555" s="87"/>
      <c r="X555" s="78" t="s">
        <v>40</v>
      </c>
      <c r="Y555" s="87"/>
      <c r="Z555" s="87"/>
      <c r="AA555" s="87"/>
      <c r="AB555" s="87"/>
      <c r="AC555" s="8"/>
    </row>
    <row r="556" spans="1:29" s="2" customFormat="1" ht="31" x14ac:dyDescent="0.35">
      <c r="A556" s="79" t="s">
        <v>781</v>
      </c>
      <c r="B556" s="80" t="s">
        <v>782</v>
      </c>
      <c r="C556" s="80" t="s">
        <v>787</v>
      </c>
      <c r="D556" s="80"/>
      <c r="E556" s="80"/>
      <c r="F556" s="80"/>
      <c r="G556" s="80"/>
      <c r="H556" s="80" t="s">
        <v>788</v>
      </c>
      <c r="I556" s="80"/>
      <c r="J556" s="80"/>
      <c r="K556" s="80"/>
      <c r="L556" s="80"/>
      <c r="M556" s="80"/>
      <c r="N556" s="80"/>
      <c r="O556" s="81"/>
      <c r="P556" s="81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3"/>
    </row>
    <row r="557" spans="1:29" s="2" customFormat="1" ht="31" x14ac:dyDescent="0.35">
      <c r="A557" s="79" t="s">
        <v>781</v>
      </c>
      <c r="B557" s="80" t="s">
        <v>782</v>
      </c>
      <c r="C557" s="80" t="s">
        <v>787</v>
      </c>
      <c r="D557" s="80"/>
      <c r="E557" s="80"/>
      <c r="F557" s="80"/>
      <c r="G557" s="80"/>
      <c r="H557" s="80" t="s">
        <v>789</v>
      </c>
      <c r="I557" s="80"/>
      <c r="J557" s="80"/>
      <c r="K557" s="80"/>
      <c r="L557" s="80"/>
      <c r="M557" s="80"/>
      <c r="N557" s="80"/>
      <c r="O557" s="81"/>
      <c r="P557" s="81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3"/>
    </row>
    <row r="558" spans="1:29" s="2" customFormat="1" ht="31" x14ac:dyDescent="0.35">
      <c r="A558" s="79" t="s">
        <v>781</v>
      </c>
      <c r="B558" s="80" t="s">
        <v>782</v>
      </c>
      <c r="C558" s="80" t="s">
        <v>787</v>
      </c>
      <c r="D558" s="80"/>
      <c r="E558" s="80"/>
      <c r="F558" s="80"/>
      <c r="G558" s="80"/>
      <c r="H558" s="80" t="s">
        <v>790</v>
      </c>
      <c r="I558" s="80"/>
      <c r="J558" s="80"/>
      <c r="K558" s="80"/>
      <c r="L558" s="80"/>
      <c r="M558" s="80"/>
      <c r="N558" s="80"/>
      <c r="O558" s="81"/>
      <c r="P558" s="81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3"/>
    </row>
    <row r="559" spans="1:29" s="2" customFormat="1" ht="31" x14ac:dyDescent="0.35">
      <c r="A559" s="79" t="s">
        <v>781</v>
      </c>
      <c r="B559" s="80" t="s">
        <v>782</v>
      </c>
      <c r="C559" s="80" t="s">
        <v>787</v>
      </c>
      <c r="D559" s="80"/>
      <c r="E559" s="80"/>
      <c r="F559" s="80"/>
      <c r="G559" s="80"/>
      <c r="H559" s="80" t="s">
        <v>791</v>
      </c>
      <c r="I559" s="80"/>
      <c r="J559" s="80"/>
      <c r="K559" s="80"/>
      <c r="L559" s="80"/>
      <c r="M559" s="80"/>
      <c r="N559" s="80"/>
      <c r="O559" s="81"/>
      <c r="P559" s="81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3"/>
    </row>
    <row r="560" spans="1:29" s="2" customFormat="1" ht="31" x14ac:dyDescent="0.35">
      <c r="A560" s="79" t="s">
        <v>781</v>
      </c>
      <c r="B560" s="80" t="s">
        <v>782</v>
      </c>
      <c r="C560" s="80" t="s">
        <v>787</v>
      </c>
      <c r="D560" s="80"/>
      <c r="E560" s="80"/>
      <c r="F560" s="80"/>
      <c r="G560" s="80"/>
      <c r="H560" s="80" t="s">
        <v>792</v>
      </c>
      <c r="I560" s="80"/>
      <c r="J560" s="80"/>
      <c r="K560" s="80"/>
      <c r="L560" s="80"/>
      <c r="M560" s="80"/>
      <c r="N560" s="80"/>
      <c r="O560" s="81"/>
      <c r="P560" s="81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3"/>
    </row>
    <row r="561" spans="1:29" s="2" customFormat="1" ht="31" x14ac:dyDescent="0.35">
      <c r="A561" s="79" t="s">
        <v>781</v>
      </c>
      <c r="B561" s="80" t="s">
        <v>782</v>
      </c>
      <c r="C561" s="80" t="s">
        <v>787</v>
      </c>
      <c r="D561" s="80"/>
      <c r="E561" s="80"/>
      <c r="F561" s="80"/>
      <c r="G561" s="80"/>
      <c r="H561" s="80" t="s">
        <v>793</v>
      </c>
      <c r="I561" s="80"/>
      <c r="J561" s="80"/>
      <c r="K561" s="80"/>
      <c r="L561" s="80"/>
      <c r="M561" s="80"/>
      <c r="N561" s="80"/>
      <c r="O561" s="81"/>
      <c r="P561" s="81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3"/>
    </row>
    <row r="562" spans="1:29" s="2" customFormat="1" ht="31" x14ac:dyDescent="0.35">
      <c r="A562" s="79" t="s">
        <v>781</v>
      </c>
      <c r="B562" s="80" t="s">
        <v>782</v>
      </c>
      <c r="C562" s="80" t="s">
        <v>787</v>
      </c>
      <c r="D562" s="80"/>
      <c r="E562" s="80"/>
      <c r="F562" s="80"/>
      <c r="G562" s="80"/>
      <c r="H562" s="80" t="s">
        <v>794</v>
      </c>
      <c r="I562" s="80"/>
      <c r="J562" s="80"/>
      <c r="K562" s="80"/>
      <c r="L562" s="80"/>
      <c r="M562" s="80"/>
      <c r="N562" s="80"/>
      <c r="O562" s="81"/>
      <c r="P562" s="81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3"/>
    </row>
    <row r="563" spans="1:29" s="2" customFormat="1" ht="31" x14ac:dyDescent="0.35">
      <c r="A563" s="79" t="s">
        <v>781</v>
      </c>
      <c r="B563" s="80" t="s">
        <v>782</v>
      </c>
      <c r="C563" s="80" t="s">
        <v>787</v>
      </c>
      <c r="D563" s="80"/>
      <c r="E563" s="80"/>
      <c r="F563" s="80"/>
      <c r="G563" s="80"/>
      <c r="H563" s="80" t="s">
        <v>795</v>
      </c>
      <c r="I563" s="80"/>
      <c r="J563" s="80"/>
      <c r="K563" s="80"/>
      <c r="L563" s="80"/>
      <c r="M563" s="80"/>
      <c r="N563" s="80"/>
      <c r="O563" s="81"/>
      <c r="P563" s="81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3"/>
    </row>
    <row r="564" spans="1:29" s="2" customFormat="1" ht="31" x14ac:dyDescent="0.35">
      <c r="A564" s="79" t="s">
        <v>781</v>
      </c>
      <c r="B564" s="80" t="s">
        <v>782</v>
      </c>
      <c r="C564" s="80" t="s">
        <v>787</v>
      </c>
      <c r="D564" s="80"/>
      <c r="E564" s="80"/>
      <c r="F564" s="80"/>
      <c r="G564" s="80"/>
      <c r="H564" s="80" t="s">
        <v>796</v>
      </c>
      <c r="I564" s="80"/>
      <c r="J564" s="80"/>
      <c r="K564" s="80"/>
      <c r="L564" s="80"/>
      <c r="M564" s="80"/>
      <c r="N564" s="80"/>
      <c r="O564" s="81"/>
      <c r="P564" s="81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3"/>
    </row>
    <row r="565" spans="1:29" s="2" customFormat="1" ht="31" x14ac:dyDescent="0.35">
      <c r="A565" s="79" t="s">
        <v>781</v>
      </c>
      <c r="B565" s="80" t="s">
        <v>782</v>
      </c>
      <c r="C565" s="80" t="s">
        <v>787</v>
      </c>
      <c r="D565" s="80"/>
      <c r="E565" s="80"/>
      <c r="F565" s="80"/>
      <c r="G565" s="80"/>
      <c r="H565" s="80" t="s">
        <v>797</v>
      </c>
      <c r="I565" s="80"/>
      <c r="J565" s="80"/>
      <c r="K565" s="80"/>
      <c r="L565" s="80"/>
      <c r="M565" s="80"/>
      <c r="N565" s="80"/>
      <c r="O565" s="81"/>
      <c r="P565" s="81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3"/>
    </row>
    <row r="566" spans="1:29" s="2" customFormat="1" ht="31" x14ac:dyDescent="0.35">
      <c r="A566" s="79" t="s">
        <v>781</v>
      </c>
      <c r="B566" s="80" t="s">
        <v>782</v>
      </c>
      <c r="C566" s="80" t="s">
        <v>787</v>
      </c>
      <c r="D566" s="80"/>
      <c r="E566" s="80"/>
      <c r="F566" s="80"/>
      <c r="G566" s="80"/>
      <c r="H566" s="80" t="s">
        <v>798</v>
      </c>
      <c r="I566" s="80"/>
      <c r="J566" s="80"/>
      <c r="K566" s="80"/>
      <c r="L566" s="80"/>
      <c r="M566" s="80"/>
      <c r="N566" s="80"/>
      <c r="O566" s="81"/>
      <c r="P566" s="81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3"/>
    </row>
    <row r="567" spans="1:29" s="2" customFormat="1" ht="31" x14ac:dyDescent="0.35">
      <c r="A567" s="79" t="s">
        <v>781</v>
      </c>
      <c r="B567" s="80" t="s">
        <v>782</v>
      </c>
      <c r="C567" s="80" t="s">
        <v>787</v>
      </c>
      <c r="D567" s="80"/>
      <c r="E567" s="80"/>
      <c r="F567" s="80"/>
      <c r="G567" s="80"/>
      <c r="H567" s="80" t="s">
        <v>799</v>
      </c>
      <c r="I567" s="80"/>
      <c r="J567" s="80"/>
      <c r="K567" s="80"/>
      <c r="L567" s="80"/>
      <c r="M567" s="80"/>
      <c r="N567" s="80"/>
      <c r="O567" s="81"/>
      <c r="P567" s="81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3"/>
    </row>
    <row r="568" spans="1:29" s="2" customFormat="1" ht="31" x14ac:dyDescent="0.35">
      <c r="A568" s="79" t="s">
        <v>781</v>
      </c>
      <c r="B568" s="80" t="s">
        <v>782</v>
      </c>
      <c r="C568" s="80" t="s">
        <v>787</v>
      </c>
      <c r="D568" s="80"/>
      <c r="E568" s="80"/>
      <c r="F568" s="80"/>
      <c r="G568" s="80"/>
      <c r="H568" s="80" t="s">
        <v>800</v>
      </c>
      <c r="I568" s="80"/>
      <c r="J568" s="80"/>
      <c r="K568" s="80"/>
      <c r="L568" s="80"/>
      <c r="M568" s="80"/>
      <c r="N568" s="80"/>
      <c r="O568" s="81"/>
      <c r="P568" s="81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3"/>
    </row>
    <row r="569" spans="1:29" s="2" customFormat="1" ht="31" x14ac:dyDescent="0.35">
      <c r="A569" s="79" t="s">
        <v>781</v>
      </c>
      <c r="B569" s="80" t="s">
        <v>782</v>
      </c>
      <c r="C569" s="80" t="s">
        <v>787</v>
      </c>
      <c r="D569" s="80"/>
      <c r="E569" s="80"/>
      <c r="F569" s="80"/>
      <c r="G569" s="80"/>
      <c r="H569" s="80" t="s">
        <v>801</v>
      </c>
      <c r="I569" s="80"/>
      <c r="J569" s="80"/>
      <c r="K569" s="80"/>
      <c r="L569" s="80"/>
      <c r="M569" s="80"/>
      <c r="N569" s="80"/>
      <c r="O569" s="81"/>
      <c r="P569" s="81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3"/>
    </row>
    <row r="570" spans="1:29" ht="31" x14ac:dyDescent="0.35">
      <c r="A570" s="165" t="s">
        <v>781</v>
      </c>
      <c r="B570" s="83" t="s">
        <v>782</v>
      </c>
      <c r="C570" s="84" t="s">
        <v>802</v>
      </c>
      <c r="D570" s="84"/>
      <c r="E570" s="85" t="s">
        <v>40</v>
      </c>
      <c r="F570" s="84"/>
      <c r="G570" s="85" t="s">
        <v>40</v>
      </c>
      <c r="H570" s="83" t="s">
        <v>50</v>
      </c>
      <c r="I570" s="84" t="s">
        <v>786</v>
      </c>
      <c r="J570" s="83" t="s">
        <v>43</v>
      </c>
      <c r="K570" s="83" t="s">
        <v>43</v>
      </c>
      <c r="L570" s="83"/>
      <c r="M570" s="83" t="s">
        <v>44</v>
      </c>
      <c r="N570" s="86">
        <v>744.48</v>
      </c>
      <c r="O570" s="86" t="s">
        <v>803</v>
      </c>
      <c r="P570" s="86"/>
      <c r="Q570" s="87"/>
      <c r="R570" s="78" t="s">
        <v>40</v>
      </c>
      <c r="S570" s="87"/>
      <c r="T570" s="87"/>
      <c r="U570" s="87"/>
      <c r="V570" s="87"/>
      <c r="W570" s="87"/>
      <c r="X570" s="78" t="s">
        <v>40</v>
      </c>
      <c r="Y570" s="87"/>
      <c r="Z570" s="87"/>
      <c r="AA570" s="87"/>
      <c r="AB570" s="87"/>
      <c r="AC570" s="8"/>
    </row>
    <row r="571" spans="1:29" s="2" customFormat="1" ht="31" x14ac:dyDescent="0.35">
      <c r="A571" s="79" t="s">
        <v>781</v>
      </c>
      <c r="B571" s="80" t="s">
        <v>782</v>
      </c>
      <c r="C571" s="80" t="s">
        <v>802</v>
      </c>
      <c r="D571" s="80"/>
      <c r="E571" s="80"/>
      <c r="F571" s="80"/>
      <c r="G571" s="80"/>
      <c r="H571" s="80" t="s">
        <v>804</v>
      </c>
      <c r="I571" s="80"/>
      <c r="J571" s="80"/>
      <c r="K571" s="80"/>
      <c r="L571" s="80"/>
      <c r="M571" s="80"/>
      <c r="N571" s="80"/>
      <c r="O571" s="81"/>
      <c r="P571" s="81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3"/>
    </row>
    <row r="572" spans="1:29" s="2" customFormat="1" ht="31" x14ac:dyDescent="0.35">
      <c r="A572" s="79" t="s">
        <v>781</v>
      </c>
      <c r="B572" s="80" t="s">
        <v>782</v>
      </c>
      <c r="C572" s="80" t="s">
        <v>802</v>
      </c>
      <c r="D572" s="80"/>
      <c r="E572" s="80"/>
      <c r="F572" s="80"/>
      <c r="G572" s="80"/>
      <c r="H572" s="80" t="s">
        <v>805</v>
      </c>
      <c r="I572" s="80"/>
      <c r="J572" s="80"/>
      <c r="K572" s="80"/>
      <c r="L572" s="80"/>
      <c r="M572" s="80"/>
      <c r="N572" s="80"/>
      <c r="O572" s="81"/>
      <c r="P572" s="81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3"/>
    </row>
    <row r="573" spans="1:29" s="2" customFormat="1" ht="31" x14ac:dyDescent="0.35">
      <c r="A573" s="79" t="s">
        <v>781</v>
      </c>
      <c r="B573" s="80" t="s">
        <v>782</v>
      </c>
      <c r="C573" s="80" t="s">
        <v>802</v>
      </c>
      <c r="D573" s="80"/>
      <c r="E573" s="80"/>
      <c r="F573" s="80"/>
      <c r="G573" s="80"/>
      <c r="H573" s="80" t="s">
        <v>806</v>
      </c>
      <c r="I573" s="80"/>
      <c r="J573" s="80"/>
      <c r="K573" s="80"/>
      <c r="L573" s="80"/>
      <c r="M573" s="80"/>
      <c r="N573" s="80"/>
      <c r="O573" s="81"/>
      <c r="P573" s="81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3"/>
    </row>
    <row r="574" spans="1:29" s="2" customFormat="1" ht="31" x14ac:dyDescent="0.35">
      <c r="A574" s="79" t="s">
        <v>781</v>
      </c>
      <c r="B574" s="80" t="s">
        <v>782</v>
      </c>
      <c r="C574" s="80" t="s">
        <v>802</v>
      </c>
      <c r="D574" s="80"/>
      <c r="E574" s="80"/>
      <c r="F574" s="80"/>
      <c r="G574" s="80"/>
      <c r="H574" s="80" t="s">
        <v>807</v>
      </c>
      <c r="I574" s="80"/>
      <c r="J574" s="80"/>
      <c r="K574" s="80"/>
      <c r="L574" s="80"/>
      <c r="M574" s="80"/>
      <c r="N574" s="80"/>
      <c r="O574" s="81"/>
      <c r="P574" s="81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3"/>
    </row>
    <row r="575" spans="1:29" s="2" customFormat="1" ht="31" x14ac:dyDescent="0.35">
      <c r="A575" s="79" t="s">
        <v>781</v>
      </c>
      <c r="B575" s="80" t="s">
        <v>782</v>
      </c>
      <c r="C575" s="80" t="s">
        <v>802</v>
      </c>
      <c r="D575" s="80"/>
      <c r="E575" s="80"/>
      <c r="F575" s="80"/>
      <c r="G575" s="80"/>
      <c r="H575" s="80" t="s">
        <v>808</v>
      </c>
      <c r="I575" s="80"/>
      <c r="J575" s="80"/>
      <c r="K575" s="80"/>
      <c r="L575" s="80"/>
      <c r="M575" s="80"/>
      <c r="N575" s="80"/>
      <c r="O575" s="81"/>
      <c r="P575" s="81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3"/>
    </row>
    <row r="576" spans="1:29" s="2" customFormat="1" ht="31" x14ac:dyDescent="0.35">
      <c r="A576" s="79" t="s">
        <v>781</v>
      </c>
      <c r="B576" s="80" t="s">
        <v>782</v>
      </c>
      <c r="C576" s="80" t="s">
        <v>802</v>
      </c>
      <c r="D576" s="80"/>
      <c r="E576" s="80"/>
      <c r="F576" s="80"/>
      <c r="G576" s="80"/>
      <c r="H576" s="80" t="s">
        <v>809</v>
      </c>
      <c r="I576" s="80"/>
      <c r="J576" s="80"/>
      <c r="K576" s="80"/>
      <c r="L576" s="80"/>
      <c r="M576" s="80"/>
      <c r="N576" s="80"/>
      <c r="O576" s="81"/>
      <c r="P576" s="81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3"/>
    </row>
    <row r="577" spans="1:29" s="2" customFormat="1" ht="31" x14ac:dyDescent="0.35">
      <c r="A577" s="79" t="s">
        <v>781</v>
      </c>
      <c r="B577" s="80" t="s">
        <v>782</v>
      </c>
      <c r="C577" s="80" t="s">
        <v>802</v>
      </c>
      <c r="D577" s="80"/>
      <c r="E577" s="80"/>
      <c r="F577" s="80"/>
      <c r="G577" s="80"/>
      <c r="H577" s="80" t="s">
        <v>810</v>
      </c>
      <c r="I577" s="80"/>
      <c r="J577" s="80"/>
      <c r="K577" s="80"/>
      <c r="L577" s="80"/>
      <c r="M577" s="80"/>
      <c r="N577" s="80"/>
      <c r="O577" s="81"/>
      <c r="P577" s="81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3"/>
    </row>
    <row r="578" spans="1:29" s="2" customFormat="1" ht="31" x14ac:dyDescent="0.35">
      <c r="A578" s="79" t="s">
        <v>781</v>
      </c>
      <c r="B578" s="80" t="s">
        <v>782</v>
      </c>
      <c r="C578" s="80" t="s">
        <v>802</v>
      </c>
      <c r="D578" s="80"/>
      <c r="E578" s="80"/>
      <c r="F578" s="80"/>
      <c r="G578" s="80"/>
      <c r="H578" s="80" t="s">
        <v>811</v>
      </c>
      <c r="I578" s="80"/>
      <c r="J578" s="80"/>
      <c r="K578" s="80"/>
      <c r="L578" s="80"/>
      <c r="M578" s="80"/>
      <c r="N578" s="80"/>
      <c r="O578" s="81"/>
      <c r="P578" s="81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3"/>
    </row>
    <row r="579" spans="1:29" s="2" customFormat="1" ht="31" x14ac:dyDescent="0.35">
      <c r="A579" s="79" t="s">
        <v>781</v>
      </c>
      <c r="B579" s="80" t="s">
        <v>782</v>
      </c>
      <c r="C579" s="80" t="s">
        <v>802</v>
      </c>
      <c r="D579" s="80"/>
      <c r="E579" s="80"/>
      <c r="F579" s="80"/>
      <c r="G579" s="80"/>
      <c r="H579" s="80" t="s">
        <v>812</v>
      </c>
      <c r="I579" s="80"/>
      <c r="J579" s="80"/>
      <c r="K579" s="80"/>
      <c r="L579" s="80"/>
      <c r="M579" s="80"/>
      <c r="N579" s="80"/>
      <c r="O579" s="81"/>
      <c r="P579" s="81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3"/>
    </row>
    <row r="580" spans="1:29" s="2" customFormat="1" ht="31" x14ac:dyDescent="0.35">
      <c r="A580" s="79" t="s">
        <v>781</v>
      </c>
      <c r="B580" s="80" t="s">
        <v>782</v>
      </c>
      <c r="C580" s="80" t="s">
        <v>802</v>
      </c>
      <c r="D580" s="80"/>
      <c r="E580" s="80"/>
      <c r="F580" s="80"/>
      <c r="G580" s="80"/>
      <c r="H580" s="80" t="s">
        <v>813</v>
      </c>
      <c r="I580" s="80"/>
      <c r="J580" s="80"/>
      <c r="K580" s="80"/>
      <c r="L580" s="80"/>
      <c r="M580" s="80"/>
      <c r="N580" s="80"/>
      <c r="O580" s="81"/>
      <c r="P580" s="81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3"/>
    </row>
    <row r="581" spans="1:29" s="2" customFormat="1" ht="31" x14ac:dyDescent="0.35">
      <c r="A581" s="79" t="s">
        <v>781</v>
      </c>
      <c r="B581" s="80" t="s">
        <v>782</v>
      </c>
      <c r="C581" s="80" t="s">
        <v>802</v>
      </c>
      <c r="D581" s="80"/>
      <c r="E581" s="80"/>
      <c r="F581" s="80"/>
      <c r="G581" s="80"/>
      <c r="H581" s="80" t="s">
        <v>814</v>
      </c>
      <c r="I581" s="80"/>
      <c r="J581" s="80"/>
      <c r="K581" s="80"/>
      <c r="L581" s="80"/>
      <c r="M581" s="80"/>
      <c r="N581" s="80"/>
      <c r="O581" s="81"/>
      <c r="P581" s="81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3"/>
    </row>
    <row r="582" spans="1:29" s="2" customFormat="1" ht="31" x14ac:dyDescent="0.35">
      <c r="A582" s="79" t="s">
        <v>781</v>
      </c>
      <c r="B582" s="80" t="s">
        <v>782</v>
      </c>
      <c r="C582" s="80" t="s">
        <v>802</v>
      </c>
      <c r="D582" s="80"/>
      <c r="E582" s="80"/>
      <c r="F582" s="80"/>
      <c r="G582" s="80"/>
      <c r="H582" s="80" t="s">
        <v>815</v>
      </c>
      <c r="I582" s="80"/>
      <c r="J582" s="80"/>
      <c r="K582" s="80"/>
      <c r="L582" s="80"/>
      <c r="M582" s="80"/>
      <c r="N582" s="80"/>
      <c r="O582" s="81"/>
      <c r="P582" s="81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3"/>
    </row>
    <row r="583" spans="1:29" s="2" customFormat="1" ht="31" x14ac:dyDescent="0.35">
      <c r="A583" s="79" t="s">
        <v>781</v>
      </c>
      <c r="B583" s="80" t="s">
        <v>782</v>
      </c>
      <c r="C583" s="80" t="s">
        <v>802</v>
      </c>
      <c r="D583" s="80"/>
      <c r="E583" s="80"/>
      <c r="F583" s="80"/>
      <c r="G583" s="80"/>
      <c r="H583" s="80" t="s">
        <v>816</v>
      </c>
      <c r="I583" s="80"/>
      <c r="J583" s="80"/>
      <c r="K583" s="80"/>
      <c r="L583" s="80"/>
      <c r="M583" s="80"/>
      <c r="N583" s="80"/>
      <c r="O583" s="81"/>
      <c r="P583" s="81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3"/>
    </row>
    <row r="584" spans="1:29" s="2" customFormat="1" ht="31" x14ac:dyDescent="0.35">
      <c r="A584" s="79" t="s">
        <v>781</v>
      </c>
      <c r="B584" s="80" t="s">
        <v>782</v>
      </c>
      <c r="C584" s="80" t="s">
        <v>802</v>
      </c>
      <c r="D584" s="80"/>
      <c r="E584" s="80"/>
      <c r="F584" s="80"/>
      <c r="G584" s="80"/>
      <c r="H584" s="80" t="s">
        <v>817</v>
      </c>
      <c r="I584" s="80"/>
      <c r="J584" s="80"/>
      <c r="K584" s="80"/>
      <c r="L584" s="80"/>
      <c r="M584" s="80"/>
      <c r="N584" s="80"/>
      <c r="O584" s="81"/>
      <c r="P584" s="81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3"/>
    </row>
    <row r="585" spans="1:29" s="2" customFormat="1" ht="31" x14ac:dyDescent="0.35">
      <c r="A585" s="79" t="s">
        <v>781</v>
      </c>
      <c r="B585" s="80" t="s">
        <v>782</v>
      </c>
      <c r="C585" s="80" t="s">
        <v>802</v>
      </c>
      <c r="D585" s="80"/>
      <c r="E585" s="80"/>
      <c r="F585" s="80"/>
      <c r="G585" s="80"/>
      <c r="H585" s="80" t="s">
        <v>818</v>
      </c>
      <c r="I585" s="80"/>
      <c r="J585" s="80"/>
      <c r="K585" s="80"/>
      <c r="L585" s="80"/>
      <c r="M585" s="80"/>
      <c r="N585" s="80"/>
      <c r="O585" s="81"/>
      <c r="P585" s="81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3"/>
    </row>
    <row r="586" spans="1:29" ht="31" x14ac:dyDescent="0.35">
      <c r="A586" s="83" t="s">
        <v>781</v>
      </c>
      <c r="B586" s="83" t="s">
        <v>782</v>
      </c>
      <c r="C586" s="84" t="s">
        <v>819</v>
      </c>
      <c r="D586" s="84"/>
      <c r="E586" s="98" t="s">
        <v>114</v>
      </c>
      <c r="F586" s="84"/>
      <c r="G586" s="98" t="s">
        <v>114</v>
      </c>
      <c r="H586" s="72" t="s">
        <v>820</v>
      </c>
      <c r="I586" s="73" t="s">
        <v>786</v>
      </c>
      <c r="J586" s="83" t="s">
        <v>118</v>
      </c>
      <c r="K586" s="83" t="s">
        <v>75</v>
      </c>
      <c r="L586" s="83"/>
      <c r="M586" s="83" t="s">
        <v>119</v>
      </c>
      <c r="N586" s="86" t="s">
        <v>120</v>
      </c>
      <c r="O586" s="86" t="s">
        <v>120</v>
      </c>
      <c r="P586" s="86"/>
      <c r="Q586" s="87"/>
      <c r="R586" s="93" t="s">
        <v>86</v>
      </c>
      <c r="S586" s="87"/>
      <c r="T586" s="87"/>
      <c r="U586" s="87"/>
      <c r="V586" s="87"/>
      <c r="W586" s="87"/>
      <c r="X586" s="78" t="s">
        <v>40</v>
      </c>
      <c r="Y586" s="87"/>
      <c r="Z586" s="87"/>
      <c r="AA586" s="87"/>
      <c r="AB586" s="87"/>
      <c r="AC586" s="8"/>
    </row>
    <row r="587" spans="1:29" ht="31" x14ac:dyDescent="0.35">
      <c r="A587" s="83" t="s">
        <v>781</v>
      </c>
      <c r="B587" s="83" t="s">
        <v>782</v>
      </c>
      <c r="C587" s="84"/>
      <c r="D587" s="84"/>
      <c r="E587" s="84"/>
      <c r="F587" s="84"/>
      <c r="G587" s="84"/>
      <c r="H587" s="194" t="s">
        <v>583</v>
      </c>
      <c r="I587" s="73" t="s">
        <v>786</v>
      </c>
      <c r="J587" s="75" t="s">
        <v>74</v>
      </c>
      <c r="K587" s="164" t="s">
        <v>75</v>
      </c>
      <c r="L587" s="83"/>
      <c r="M587" s="83"/>
      <c r="N587" s="86"/>
      <c r="O587" s="86"/>
      <c r="P587" s="86"/>
      <c r="Q587" s="209" t="s">
        <v>100</v>
      </c>
      <c r="R587" s="169" t="s">
        <v>100</v>
      </c>
      <c r="S587" s="169" t="s">
        <v>100</v>
      </c>
      <c r="T587" s="169" t="s">
        <v>100</v>
      </c>
      <c r="U587" s="169" t="s">
        <v>100</v>
      </c>
      <c r="V587" s="169" t="s">
        <v>100</v>
      </c>
      <c r="W587" s="169" t="s">
        <v>100</v>
      </c>
      <c r="X587" s="169" t="s">
        <v>100</v>
      </c>
      <c r="Y587" s="169" t="s">
        <v>100</v>
      </c>
      <c r="Z587" s="169" t="s">
        <v>100</v>
      </c>
      <c r="AA587" s="205" t="s">
        <v>100</v>
      </c>
      <c r="AB587" s="205" t="s">
        <v>100</v>
      </c>
      <c r="AC587" s="8"/>
    </row>
    <row r="588" spans="1:29" ht="31" x14ac:dyDescent="0.35">
      <c r="A588" s="83" t="s">
        <v>781</v>
      </c>
      <c r="B588" s="83" t="s">
        <v>782</v>
      </c>
      <c r="C588" s="84"/>
      <c r="D588" s="84"/>
      <c r="E588" s="84"/>
      <c r="F588" s="84"/>
      <c r="G588" s="84"/>
      <c r="H588" s="72" t="s">
        <v>580</v>
      </c>
      <c r="I588" s="73" t="s">
        <v>786</v>
      </c>
      <c r="J588" s="75" t="s">
        <v>74</v>
      </c>
      <c r="K588" s="164" t="s">
        <v>75</v>
      </c>
      <c r="L588" s="83"/>
      <c r="M588" s="83"/>
      <c r="N588" s="86"/>
      <c r="O588" s="86"/>
      <c r="P588" s="86"/>
      <c r="Q588" s="169" t="s">
        <v>100</v>
      </c>
      <c r="R588" s="169" t="s">
        <v>100</v>
      </c>
      <c r="S588" s="169" t="s">
        <v>100</v>
      </c>
      <c r="T588" s="169" t="s">
        <v>100</v>
      </c>
      <c r="U588" s="169" t="s">
        <v>100</v>
      </c>
      <c r="V588" s="169" t="s">
        <v>100</v>
      </c>
      <c r="W588" s="169" t="s">
        <v>100</v>
      </c>
      <c r="X588" s="169" t="s">
        <v>100</v>
      </c>
      <c r="Y588" s="169" t="s">
        <v>100</v>
      </c>
      <c r="Z588" s="169" t="s">
        <v>100</v>
      </c>
      <c r="AA588" s="205" t="s">
        <v>100</v>
      </c>
      <c r="AB588" s="205" t="s">
        <v>100</v>
      </c>
      <c r="AC588" s="8"/>
    </row>
    <row r="589" spans="1:29" ht="31" x14ac:dyDescent="0.35">
      <c r="A589" s="83" t="s">
        <v>781</v>
      </c>
      <c r="B589" s="83" t="s">
        <v>782</v>
      </c>
      <c r="C589" s="84" t="s">
        <v>821</v>
      </c>
      <c r="D589" s="84"/>
      <c r="E589" s="98" t="s">
        <v>207</v>
      </c>
      <c r="F589" s="84"/>
      <c r="G589" s="98" t="s">
        <v>207</v>
      </c>
      <c r="H589" s="72" t="s">
        <v>822</v>
      </c>
      <c r="I589" s="73" t="s">
        <v>786</v>
      </c>
      <c r="J589" s="72" t="s">
        <v>702</v>
      </c>
      <c r="K589" s="107" t="s">
        <v>43</v>
      </c>
      <c r="L589" s="88"/>
      <c r="M589" s="83" t="s">
        <v>44</v>
      </c>
      <c r="N589" s="86">
        <v>1116.72</v>
      </c>
      <c r="O589" s="86">
        <v>1200</v>
      </c>
      <c r="P589" s="86"/>
      <c r="Q589" s="87"/>
      <c r="R589" s="93" t="s">
        <v>45</v>
      </c>
      <c r="S589" s="87"/>
      <c r="T589" s="87"/>
      <c r="U589" s="87"/>
      <c r="V589" s="87"/>
      <c r="W589" s="87"/>
      <c r="X589" s="93" t="s">
        <v>45</v>
      </c>
      <c r="Y589" s="87"/>
      <c r="Z589" s="87"/>
      <c r="AA589" s="87"/>
      <c r="AB589" s="87"/>
      <c r="AC589" s="8"/>
    </row>
    <row r="590" spans="1:29" ht="31" x14ac:dyDescent="0.35">
      <c r="A590" s="83" t="s">
        <v>781</v>
      </c>
      <c r="B590" s="83" t="s">
        <v>782</v>
      </c>
      <c r="C590" s="84" t="s">
        <v>823</v>
      </c>
      <c r="D590" s="92" t="s">
        <v>72</v>
      </c>
      <c r="E590" s="84"/>
      <c r="F590" s="84"/>
      <c r="G590" s="84"/>
      <c r="H590" s="72" t="s">
        <v>824</v>
      </c>
      <c r="I590" s="73" t="s">
        <v>786</v>
      </c>
      <c r="J590" s="83" t="s">
        <v>43</v>
      </c>
      <c r="K590" s="83" t="s">
        <v>43</v>
      </c>
      <c r="L590" s="107"/>
      <c r="M590" s="83" t="s">
        <v>44</v>
      </c>
      <c r="N590" s="111">
        <v>372.24</v>
      </c>
      <c r="O590" s="86">
        <v>480</v>
      </c>
      <c r="P590" s="86"/>
      <c r="Q590" s="141"/>
      <c r="R590" s="141"/>
      <c r="S590" s="141"/>
      <c r="T590" s="141"/>
      <c r="U590" s="141"/>
      <c r="V590" s="141"/>
      <c r="W590" s="142" t="s">
        <v>72</v>
      </c>
      <c r="X590" s="141"/>
      <c r="Y590" s="141"/>
      <c r="Z590" s="141"/>
      <c r="AA590" s="141"/>
      <c r="AB590" s="141"/>
      <c r="AC590" s="8"/>
    </row>
    <row r="591" spans="1:29" ht="31" x14ac:dyDescent="0.35">
      <c r="A591" s="83" t="s">
        <v>781</v>
      </c>
      <c r="B591" s="83" t="s">
        <v>782</v>
      </c>
      <c r="C591" s="84" t="s">
        <v>825</v>
      </c>
      <c r="D591" s="92" t="s">
        <v>193</v>
      </c>
      <c r="E591" s="84"/>
      <c r="F591" s="84"/>
      <c r="G591" s="84"/>
      <c r="H591" s="72" t="s">
        <v>826</v>
      </c>
      <c r="I591" s="73" t="s">
        <v>786</v>
      </c>
      <c r="J591" s="75" t="s">
        <v>74</v>
      </c>
      <c r="K591" s="164" t="s">
        <v>75</v>
      </c>
      <c r="L591" s="88" t="s">
        <v>66</v>
      </c>
      <c r="M591" s="72" t="s">
        <v>67</v>
      </c>
      <c r="N591" s="86">
        <v>0</v>
      </c>
      <c r="O591" s="86">
        <v>0</v>
      </c>
      <c r="P591" s="86"/>
      <c r="Q591" s="229" t="s">
        <v>100</v>
      </c>
      <c r="R591" s="205" t="s">
        <v>100</v>
      </c>
      <c r="S591" s="205" t="s">
        <v>100</v>
      </c>
      <c r="T591" s="205" t="s">
        <v>100</v>
      </c>
      <c r="U591" s="205" t="s">
        <v>100</v>
      </c>
      <c r="V591" s="205" t="s">
        <v>100</v>
      </c>
      <c r="W591" s="205" t="s">
        <v>100</v>
      </c>
      <c r="X591" s="205" t="s">
        <v>100</v>
      </c>
      <c r="Y591" s="205" t="s">
        <v>100</v>
      </c>
      <c r="Z591" s="205" t="s">
        <v>100</v>
      </c>
      <c r="AA591" s="205" t="s">
        <v>100</v>
      </c>
      <c r="AB591" s="205" t="s">
        <v>100</v>
      </c>
      <c r="AC591" s="8"/>
    </row>
    <row r="592" spans="1:29" ht="31" x14ac:dyDescent="0.35">
      <c r="A592" s="83" t="s">
        <v>781</v>
      </c>
      <c r="B592" s="83" t="s">
        <v>782</v>
      </c>
      <c r="C592" s="84" t="s">
        <v>827</v>
      </c>
      <c r="D592" s="92" t="s">
        <v>72</v>
      </c>
      <c r="E592" s="84"/>
      <c r="F592" s="84"/>
      <c r="G592" s="84"/>
      <c r="H592" s="72" t="s">
        <v>828</v>
      </c>
      <c r="I592" s="73" t="s">
        <v>786</v>
      </c>
      <c r="J592" s="83" t="s">
        <v>43</v>
      </c>
      <c r="K592" s="83" t="s">
        <v>43</v>
      </c>
      <c r="L592" s="107"/>
      <c r="M592" s="83" t="s">
        <v>44</v>
      </c>
      <c r="N592" s="111">
        <v>186.12</v>
      </c>
      <c r="O592" s="86">
        <v>480</v>
      </c>
      <c r="P592" s="86"/>
      <c r="Q592" s="87"/>
      <c r="R592" s="87"/>
      <c r="S592" s="87"/>
      <c r="T592" s="87"/>
      <c r="U592" s="87"/>
      <c r="V592" s="87"/>
      <c r="W592" s="183" t="s">
        <v>86</v>
      </c>
      <c r="X592" s="87"/>
      <c r="Y592" s="87"/>
      <c r="Z592" s="87"/>
      <c r="AA592" s="87"/>
      <c r="AB592" s="87"/>
      <c r="AC592" s="8"/>
    </row>
    <row r="593" spans="1:29" ht="31" x14ac:dyDescent="0.35">
      <c r="A593" s="83" t="s">
        <v>781</v>
      </c>
      <c r="B593" s="83" t="s">
        <v>782</v>
      </c>
      <c r="C593" s="84" t="s">
        <v>829</v>
      </c>
      <c r="D593" s="84"/>
      <c r="E593" s="98" t="s">
        <v>72</v>
      </c>
      <c r="F593" s="84"/>
      <c r="G593" s="98" t="s">
        <v>72</v>
      </c>
      <c r="H593" s="72" t="s">
        <v>830</v>
      </c>
      <c r="I593" s="73" t="s">
        <v>786</v>
      </c>
      <c r="J593" s="83" t="s">
        <v>94</v>
      </c>
      <c r="K593" s="83" t="s">
        <v>75</v>
      </c>
      <c r="L593" s="88" t="s">
        <v>66</v>
      </c>
      <c r="M593" s="72" t="s">
        <v>67</v>
      </c>
      <c r="N593" s="86">
        <v>783.2</v>
      </c>
      <c r="O593" s="86">
        <v>0</v>
      </c>
      <c r="P593" s="86"/>
      <c r="Q593" s="191" t="s">
        <v>423</v>
      </c>
      <c r="R593" s="141"/>
      <c r="S593" s="141"/>
      <c r="T593" s="142" t="s">
        <v>64</v>
      </c>
      <c r="U593" s="141"/>
      <c r="V593" s="141"/>
      <c r="W593" s="142" t="s">
        <v>72</v>
      </c>
      <c r="X593" s="141"/>
      <c r="Y593" s="141"/>
      <c r="Z593" s="191" t="s">
        <v>68</v>
      </c>
      <c r="AA593" s="142" t="s">
        <v>72</v>
      </c>
      <c r="AB593" s="141"/>
      <c r="AC593" s="8"/>
    </row>
    <row r="594" spans="1:29" ht="31" x14ac:dyDescent="0.35">
      <c r="A594" s="83" t="s">
        <v>781</v>
      </c>
      <c r="B594" s="83" t="s">
        <v>782</v>
      </c>
      <c r="C594" s="84" t="s">
        <v>825</v>
      </c>
      <c r="D594" s="92" t="s">
        <v>193</v>
      </c>
      <c r="E594" s="84"/>
      <c r="F594" s="84"/>
      <c r="G594" s="84"/>
      <c r="H594" s="95" t="s">
        <v>194</v>
      </c>
      <c r="I594" s="73" t="s">
        <v>786</v>
      </c>
      <c r="J594" s="75" t="s">
        <v>92</v>
      </c>
      <c r="K594" s="75" t="s">
        <v>75</v>
      </c>
      <c r="L594" s="75"/>
      <c r="M594" s="170"/>
      <c r="N594" s="86">
        <v>713.34</v>
      </c>
      <c r="O594" s="86">
        <v>200</v>
      </c>
      <c r="P594" s="218"/>
      <c r="Q594" s="145"/>
      <c r="R594" s="216" t="s">
        <v>45</v>
      </c>
      <c r="S594" s="145"/>
      <c r="T594" s="145"/>
      <c r="U594" s="145"/>
      <c r="V594" s="145"/>
      <c r="W594" s="145"/>
      <c r="X594" s="216" t="s">
        <v>45</v>
      </c>
      <c r="Y594" s="145"/>
      <c r="Z594" s="145"/>
      <c r="AA594" s="145"/>
      <c r="AB594" s="145"/>
      <c r="AC594" s="51"/>
    </row>
    <row r="595" spans="1:29" ht="31" x14ac:dyDescent="0.35">
      <c r="A595" s="83" t="s">
        <v>781</v>
      </c>
      <c r="B595" s="83" t="s">
        <v>782</v>
      </c>
      <c r="C595" s="84"/>
      <c r="D595" s="84"/>
      <c r="E595" s="98"/>
      <c r="F595" s="84"/>
      <c r="G595" s="98"/>
      <c r="H595" s="83" t="s">
        <v>133</v>
      </c>
      <c r="I595" s="73" t="s">
        <v>786</v>
      </c>
      <c r="J595" s="75" t="s">
        <v>92</v>
      </c>
      <c r="K595" s="75" t="s">
        <v>75</v>
      </c>
      <c r="L595" s="107"/>
      <c r="M595" s="72"/>
      <c r="N595" s="86">
        <v>650</v>
      </c>
      <c r="O595" s="86">
        <v>470</v>
      </c>
      <c r="P595" s="218"/>
      <c r="Q595" s="216" t="s">
        <v>68</v>
      </c>
      <c r="R595" s="145"/>
      <c r="S595" s="145"/>
      <c r="T595" s="216" t="s">
        <v>68</v>
      </c>
      <c r="U595" s="145"/>
      <c r="V595" s="145"/>
      <c r="W595" s="216" t="s">
        <v>68</v>
      </c>
      <c r="X595" s="145"/>
      <c r="Y595" s="145"/>
      <c r="Z595" s="216" t="s">
        <v>68</v>
      </c>
      <c r="AA595" s="145"/>
      <c r="AB595" s="145"/>
      <c r="AC595" s="51"/>
    </row>
    <row r="596" spans="1:29" ht="31" x14ac:dyDescent="0.35">
      <c r="A596" s="83" t="s">
        <v>781</v>
      </c>
      <c r="B596" s="83" t="s">
        <v>782</v>
      </c>
      <c r="C596" s="84" t="s">
        <v>831</v>
      </c>
      <c r="D596" s="92" t="s">
        <v>72</v>
      </c>
      <c r="E596" s="84"/>
      <c r="F596" s="84"/>
      <c r="G596" s="84"/>
      <c r="H596" s="72" t="s">
        <v>832</v>
      </c>
      <c r="I596" s="73" t="s">
        <v>786</v>
      </c>
      <c r="J596" s="72" t="s">
        <v>92</v>
      </c>
      <c r="K596" s="72" t="s">
        <v>75</v>
      </c>
      <c r="L596" s="72"/>
      <c r="M596" s="72"/>
      <c r="N596" s="86">
        <v>713.34</v>
      </c>
      <c r="O596" s="86">
        <v>80</v>
      </c>
      <c r="P596" s="218"/>
      <c r="Q596" s="145"/>
      <c r="R596" s="216" t="s">
        <v>86</v>
      </c>
      <c r="S596" s="145"/>
      <c r="T596" s="145"/>
      <c r="U596" s="145"/>
      <c r="V596" s="145"/>
      <c r="W596" s="145"/>
      <c r="X596" s="145"/>
      <c r="Y596" s="145"/>
      <c r="Z596" s="145"/>
      <c r="AA596" s="145"/>
      <c r="AB596" s="145"/>
      <c r="AC596" s="51"/>
    </row>
    <row r="597" spans="1:29" ht="31" x14ac:dyDescent="0.35">
      <c r="A597" s="83" t="s">
        <v>781</v>
      </c>
      <c r="B597" s="83" t="s">
        <v>782</v>
      </c>
      <c r="C597" s="84" t="s">
        <v>833</v>
      </c>
      <c r="D597" s="92" t="s">
        <v>72</v>
      </c>
      <c r="E597" s="84"/>
      <c r="F597" s="92" t="s">
        <v>72</v>
      </c>
      <c r="G597" s="84"/>
      <c r="H597" s="72" t="s">
        <v>834</v>
      </c>
      <c r="I597" s="73" t="s">
        <v>786</v>
      </c>
      <c r="J597" s="83" t="s">
        <v>43</v>
      </c>
      <c r="K597" s="83" t="s">
        <v>43</v>
      </c>
      <c r="L597" s="107"/>
      <c r="M597" s="83" t="s">
        <v>44</v>
      </c>
      <c r="N597" s="86">
        <v>982.65</v>
      </c>
      <c r="O597" s="86">
        <v>550</v>
      </c>
      <c r="P597" s="86"/>
      <c r="Q597" s="110"/>
      <c r="R597" s="110"/>
      <c r="S597" s="110"/>
      <c r="T597" s="110"/>
      <c r="U597" s="152" t="s">
        <v>72</v>
      </c>
      <c r="V597" s="110"/>
      <c r="W597" s="110"/>
      <c r="X597" s="110"/>
      <c r="Y597" s="110"/>
      <c r="Z597" s="110"/>
      <c r="AA597" s="110"/>
      <c r="AB597" s="110"/>
      <c r="AC597" s="8"/>
    </row>
    <row r="598" spans="1:29" ht="31" x14ac:dyDescent="0.35">
      <c r="A598" s="83" t="s">
        <v>781</v>
      </c>
      <c r="B598" s="83" t="s">
        <v>782</v>
      </c>
      <c r="C598" s="84" t="s">
        <v>835</v>
      </c>
      <c r="D598" s="92" t="s">
        <v>99</v>
      </c>
      <c r="E598" s="98" t="s">
        <v>72</v>
      </c>
      <c r="F598" s="84"/>
      <c r="G598" s="84"/>
      <c r="H598" s="72" t="s">
        <v>836</v>
      </c>
      <c r="I598" s="73" t="s">
        <v>786</v>
      </c>
      <c r="J598" s="83" t="s">
        <v>43</v>
      </c>
      <c r="K598" s="83" t="s">
        <v>43</v>
      </c>
      <c r="L598" s="107"/>
      <c r="M598" s="83" t="s">
        <v>44</v>
      </c>
      <c r="N598" s="111">
        <v>372.24</v>
      </c>
      <c r="O598" s="86">
        <v>520</v>
      </c>
      <c r="P598" s="86"/>
      <c r="Q598" s="87"/>
      <c r="R598" s="87"/>
      <c r="S598" s="87"/>
      <c r="T598" s="87"/>
      <c r="U598" s="183" t="s">
        <v>86</v>
      </c>
      <c r="V598" s="87"/>
      <c r="W598" s="87"/>
      <c r="X598" s="87"/>
      <c r="Y598" s="87"/>
      <c r="Z598" s="87"/>
      <c r="AA598" s="87"/>
      <c r="AB598" s="87"/>
      <c r="AC598" s="8"/>
    </row>
    <row r="599" spans="1:29" ht="31" x14ac:dyDescent="0.35">
      <c r="A599" s="83" t="s">
        <v>781</v>
      </c>
      <c r="B599" s="83" t="s">
        <v>782</v>
      </c>
      <c r="C599" s="84" t="s">
        <v>835</v>
      </c>
      <c r="D599" s="92" t="s">
        <v>99</v>
      </c>
      <c r="E599" s="98" t="s">
        <v>72</v>
      </c>
      <c r="F599" s="84"/>
      <c r="G599" s="84"/>
      <c r="H599" s="72" t="s">
        <v>836</v>
      </c>
      <c r="I599" s="73" t="s">
        <v>786</v>
      </c>
      <c r="J599" s="72" t="s">
        <v>74</v>
      </c>
      <c r="K599" s="164" t="s">
        <v>75</v>
      </c>
      <c r="L599" s="88" t="s">
        <v>66</v>
      </c>
      <c r="M599" s="72" t="s">
        <v>67</v>
      </c>
      <c r="N599" s="86">
        <v>0</v>
      </c>
      <c r="O599" s="86">
        <v>0</v>
      </c>
      <c r="P599" s="86"/>
      <c r="Q599" s="93" t="s">
        <v>100</v>
      </c>
      <c r="R599" s="93" t="s">
        <v>100</v>
      </c>
      <c r="S599" s="93" t="s">
        <v>100</v>
      </c>
      <c r="T599" s="93" t="s">
        <v>100</v>
      </c>
      <c r="U599" s="93" t="s">
        <v>100</v>
      </c>
      <c r="V599" s="93" t="s">
        <v>100</v>
      </c>
      <c r="W599" s="93" t="s">
        <v>100</v>
      </c>
      <c r="X599" s="93" t="s">
        <v>100</v>
      </c>
      <c r="Y599" s="93" t="s">
        <v>100</v>
      </c>
      <c r="Z599" s="93" t="s">
        <v>100</v>
      </c>
      <c r="AA599" s="205" t="s">
        <v>100</v>
      </c>
      <c r="AB599" s="205" t="s">
        <v>100</v>
      </c>
      <c r="AC599" s="8"/>
    </row>
    <row r="600" spans="1:29" ht="31" x14ac:dyDescent="0.35">
      <c r="A600" s="83" t="s">
        <v>781</v>
      </c>
      <c r="B600" s="83" t="s">
        <v>782</v>
      </c>
      <c r="C600" s="84" t="s">
        <v>837</v>
      </c>
      <c r="D600" s="84"/>
      <c r="E600" s="98" t="s">
        <v>72</v>
      </c>
      <c r="F600" s="84"/>
      <c r="G600" s="98" t="s">
        <v>72</v>
      </c>
      <c r="H600" s="72" t="s">
        <v>838</v>
      </c>
      <c r="I600" s="73" t="s">
        <v>786</v>
      </c>
      <c r="J600" s="88" t="s">
        <v>105</v>
      </c>
      <c r="K600" s="83" t="s">
        <v>43</v>
      </c>
      <c r="L600" s="107"/>
      <c r="M600" s="83" t="s">
        <v>44</v>
      </c>
      <c r="N600" s="86">
        <v>67.5</v>
      </c>
      <c r="O600" s="86">
        <v>288</v>
      </c>
      <c r="P600" s="86"/>
      <c r="Q600" s="87"/>
      <c r="R600" s="87"/>
      <c r="S600" s="87"/>
      <c r="T600" s="87"/>
      <c r="U600" s="93" t="s">
        <v>86</v>
      </c>
      <c r="V600" s="87"/>
      <c r="W600" s="87"/>
      <c r="X600" s="87"/>
      <c r="Y600" s="87"/>
      <c r="Z600" s="87"/>
      <c r="AA600" s="87"/>
      <c r="AB600" s="87"/>
      <c r="AC600" s="8"/>
    </row>
    <row r="601" spans="1:29" ht="31" x14ac:dyDescent="0.35">
      <c r="A601" s="83" t="s">
        <v>781</v>
      </c>
      <c r="B601" s="83" t="s">
        <v>782</v>
      </c>
      <c r="C601" s="84" t="s">
        <v>839</v>
      </c>
      <c r="D601" s="84"/>
      <c r="E601" s="98" t="s">
        <v>72</v>
      </c>
      <c r="F601" s="84"/>
      <c r="G601" s="98" t="s">
        <v>72</v>
      </c>
      <c r="H601" s="72" t="s">
        <v>840</v>
      </c>
      <c r="I601" s="73" t="s">
        <v>786</v>
      </c>
      <c r="J601" s="88" t="s">
        <v>105</v>
      </c>
      <c r="K601" s="83" t="s">
        <v>43</v>
      </c>
      <c r="L601" s="107"/>
      <c r="M601" s="83" t="s">
        <v>44</v>
      </c>
      <c r="N601" s="86">
        <v>67.5</v>
      </c>
      <c r="O601" s="86" t="s">
        <v>841</v>
      </c>
      <c r="P601" s="86"/>
      <c r="Q601" s="87"/>
      <c r="R601" s="87"/>
      <c r="S601" s="87"/>
      <c r="T601" s="87"/>
      <c r="U601" s="93" t="s">
        <v>86</v>
      </c>
      <c r="V601" s="87"/>
      <c r="W601" s="87"/>
      <c r="X601" s="87"/>
      <c r="Y601" s="87"/>
      <c r="Z601" s="87"/>
      <c r="AA601" s="87"/>
      <c r="AB601" s="87"/>
      <c r="AC601" s="8"/>
    </row>
    <row r="602" spans="1:29" ht="31" x14ac:dyDescent="0.35">
      <c r="A602" s="83" t="s">
        <v>781</v>
      </c>
      <c r="B602" s="83" t="s">
        <v>782</v>
      </c>
      <c r="C602" s="84" t="s">
        <v>842</v>
      </c>
      <c r="D602" s="92" t="s">
        <v>72</v>
      </c>
      <c r="E602" s="84"/>
      <c r="F602" s="84"/>
      <c r="G602" s="84"/>
      <c r="H602" s="72" t="s">
        <v>843</v>
      </c>
      <c r="I602" s="73" t="s">
        <v>786</v>
      </c>
      <c r="J602" s="83" t="s">
        <v>43</v>
      </c>
      <c r="K602" s="83" t="s">
        <v>43</v>
      </c>
      <c r="L602" s="107"/>
      <c r="M602" s="83" t="s">
        <v>44</v>
      </c>
      <c r="N602" s="111">
        <v>186.12</v>
      </c>
      <c r="O602" s="86">
        <v>480</v>
      </c>
      <c r="P602" s="86"/>
      <c r="Q602" s="87"/>
      <c r="R602" s="87"/>
      <c r="S602" s="87"/>
      <c r="T602" s="87"/>
      <c r="U602" s="93" t="s">
        <v>86</v>
      </c>
      <c r="V602" s="87"/>
      <c r="W602" s="87"/>
      <c r="X602" s="87"/>
      <c r="Y602" s="87"/>
      <c r="Z602" s="87"/>
      <c r="AA602" s="87"/>
      <c r="AB602" s="87"/>
      <c r="AC602" s="8"/>
    </row>
    <row r="603" spans="1:29" ht="46.5" x14ac:dyDescent="0.35">
      <c r="A603" s="83" t="s">
        <v>781</v>
      </c>
      <c r="B603" s="83" t="s">
        <v>782</v>
      </c>
      <c r="C603" s="84" t="s">
        <v>844</v>
      </c>
      <c r="D603" s="92" t="s">
        <v>72</v>
      </c>
      <c r="E603" s="84"/>
      <c r="F603" s="84"/>
      <c r="G603" s="84"/>
      <c r="H603" s="72" t="s">
        <v>845</v>
      </c>
      <c r="I603" s="73" t="s">
        <v>786</v>
      </c>
      <c r="J603" s="72" t="s">
        <v>74</v>
      </c>
      <c r="K603" s="164" t="s">
        <v>75</v>
      </c>
      <c r="L603" s="88" t="s">
        <v>66</v>
      </c>
      <c r="M603" s="72" t="s">
        <v>67</v>
      </c>
      <c r="N603" s="111">
        <v>0</v>
      </c>
      <c r="O603" s="171">
        <v>0</v>
      </c>
      <c r="P603" s="171"/>
      <c r="Q603" s="87"/>
      <c r="R603" s="87"/>
      <c r="S603" s="87"/>
      <c r="T603" s="87"/>
      <c r="U603" s="87"/>
      <c r="V603" s="87"/>
      <c r="W603" s="78" t="s">
        <v>72</v>
      </c>
      <c r="X603" s="87"/>
      <c r="Y603" s="87"/>
      <c r="Z603" s="87"/>
      <c r="AA603" s="87"/>
      <c r="AB603" s="87"/>
      <c r="AC603" s="8"/>
    </row>
    <row r="604" spans="1:29" ht="62" x14ac:dyDescent="0.35">
      <c r="A604" s="83" t="s">
        <v>781</v>
      </c>
      <c r="B604" s="83" t="s">
        <v>782</v>
      </c>
      <c r="C604" s="84" t="s">
        <v>846</v>
      </c>
      <c r="D604" s="101" t="s">
        <v>40</v>
      </c>
      <c r="E604" s="84"/>
      <c r="F604" s="84"/>
      <c r="G604" s="84"/>
      <c r="H604" s="72" t="s">
        <v>847</v>
      </c>
      <c r="I604" s="73" t="s">
        <v>786</v>
      </c>
      <c r="J604" s="83" t="s">
        <v>130</v>
      </c>
      <c r="K604" s="88" t="s">
        <v>75</v>
      </c>
      <c r="L604" s="88" t="s">
        <v>66</v>
      </c>
      <c r="M604" s="102" t="s">
        <v>131</v>
      </c>
      <c r="N604" s="103" t="s">
        <v>132</v>
      </c>
      <c r="O604" s="103" t="s">
        <v>132</v>
      </c>
      <c r="P604" s="103"/>
      <c r="Q604" s="87"/>
      <c r="R604" s="191" t="s">
        <v>45</v>
      </c>
      <c r="S604" s="99"/>
      <c r="T604" s="99"/>
      <c r="U604" s="99"/>
      <c r="V604" s="99"/>
      <c r="W604" s="87"/>
      <c r="X604" s="205" t="s">
        <v>45</v>
      </c>
      <c r="Y604" s="99"/>
      <c r="Z604" s="99"/>
      <c r="AA604" s="99"/>
      <c r="AB604" s="99"/>
      <c r="AC604" s="10"/>
    </row>
    <row r="605" spans="1:29" ht="62" x14ac:dyDescent="0.35">
      <c r="A605" s="165" t="s">
        <v>848</v>
      </c>
      <c r="B605" s="83" t="s">
        <v>849</v>
      </c>
      <c r="C605" s="84" t="s">
        <v>850</v>
      </c>
      <c r="D605" s="89" t="s">
        <v>719</v>
      </c>
      <c r="E605" s="85" t="s">
        <v>72</v>
      </c>
      <c r="F605" s="84"/>
      <c r="G605" s="85" t="s">
        <v>72</v>
      </c>
      <c r="H605" s="83" t="s">
        <v>720</v>
      </c>
      <c r="I605" s="84" t="s">
        <v>851</v>
      </c>
      <c r="J605" s="88" t="s">
        <v>105</v>
      </c>
      <c r="K605" s="172" t="s">
        <v>43</v>
      </c>
      <c r="L605" s="172"/>
      <c r="M605" s="173" t="s">
        <v>852</v>
      </c>
      <c r="N605" s="124" t="s">
        <v>853</v>
      </c>
      <c r="O605" s="86">
        <v>1911</v>
      </c>
      <c r="P605" s="86"/>
      <c r="Q605" s="93" t="s">
        <v>86</v>
      </c>
      <c r="R605" s="87"/>
      <c r="S605" s="87"/>
      <c r="T605" s="93" t="s">
        <v>68</v>
      </c>
      <c r="U605" s="87"/>
      <c r="V605" s="87"/>
      <c r="W605" s="93" t="s">
        <v>45</v>
      </c>
      <c r="X605" s="87"/>
      <c r="Y605" s="87"/>
      <c r="Z605" s="93" t="s">
        <v>68</v>
      </c>
      <c r="AA605" s="87"/>
      <c r="AB605" s="87"/>
      <c r="AC605" s="8"/>
    </row>
    <row r="606" spans="1:29" s="2" customFormat="1" ht="31" x14ac:dyDescent="0.35">
      <c r="A606" s="79" t="s">
        <v>848</v>
      </c>
      <c r="B606" s="80" t="s">
        <v>849</v>
      </c>
      <c r="C606" s="80" t="s">
        <v>850</v>
      </c>
      <c r="D606" s="80"/>
      <c r="E606" s="80"/>
      <c r="F606" s="80"/>
      <c r="G606" s="80"/>
      <c r="H606" s="80" t="s">
        <v>854</v>
      </c>
      <c r="I606" s="80"/>
      <c r="J606" s="80"/>
      <c r="K606" s="80"/>
      <c r="L606" s="80"/>
      <c r="M606" s="80"/>
      <c r="N606" s="80"/>
      <c r="O606" s="81"/>
      <c r="P606" s="81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3"/>
    </row>
    <row r="607" spans="1:29" s="2" customFormat="1" ht="31" x14ac:dyDescent="0.35">
      <c r="A607" s="79" t="s">
        <v>848</v>
      </c>
      <c r="B607" s="80" t="s">
        <v>849</v>
      </c>
      <c r="C607" s="80" t="s">
        <v>850</v>
      </c>
      <c r="D607" s="80"/>
      <c r="E607" s="80"/>
      <c r="F607" s="80"/>
      <c r="G607" s="80"/>
      <c r="H607" s="80" t="s">
        <v>855</v>
      </c>
      <c r="I607" s="80"/>
      <c r="J607" s="80"/>
      <c r="K607" s="80"/>
      <c r="L607" s="80"/>
      <c r="M607" s="80"/>
      <c r="N607" s="80"/>
      <c r="O607" s="81"/>
      <c r="P607" s="81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3"/>
    </row>
    <row r="608" spans="1:29" ht="62" x14ac:dyDescent="0.35">
      <c r="A608" s="165" t="s">
        <v>848</v>
      </c>
      <c r="B608" s="83" t="s">
        <v>849</v>
      </c>
      <c r="C608" s="84" t="s">
        <v>856</v>
      </c>
      <c r="D608" s="84"/>
      <c r="E608" s="85" t="s">
        <v>40</v>
      </c>
      <c r="F608" s="84"/>
      <c r="G608" s="85" t="s">
        <v>40</v>
      </c>
      <c r="H608" s="83" t="s">
        <v>41</v>
      </c>
      <c r="I608" s="84" t="s">
        <v>851</v>
      </c>
      <c r="J608" s="83" t="s">
        <v>43</v>
      </c>
      <c r="K608" s="83" t="s">
        <v>43</v>
      </c>
      <c r="L608" s="83"/>
      <c r="M608" s="83" t="s">
        <v>44</v>
      </c>
      <c r="N608" s="86">
        <v>2977.92</v>
      </c>
      <c r="O608" s="86">
        <v>960</v>
      </c>
      <c r="P608" s="86"/>
      <c r="Q608" s="87"/>
      <c r="R608" s="93" t="s">
        <v>45</v>
      </c>
      <c r="S608" s="87"/>
      <c r="T608" s="87"/>
      <c r="U608" s="87"/>
      <c r="V608" s="87"/>
      <c r="W608" s="87"/>
      <c r="X608" s="93" t="s">
        <v>45</v>
      </c>
      <c r="Y608" s="87"/>
      <c r="Z608" s="87"/>
      <c r="AA608" s="87"/>
      <c r="AB608" s="87"/>
      <c r="AC608" s="8"/>
    </row>
    <row r="609" spans="1:29" s="2" customFormat="1" ht="31" x14ac:dyDescent="0.35">
      <c r="A609" s="79" t="s">
        <v>848</v>
      </c>
      <c r="B609" s="80" t="s">
        <v>849</v>
      </c>
      <c r="C609" s="80" t="s">
        <v>856</v>
      </c>
      <c r="D609" s="80"/>
      <c r="E609" s="80"/>
      <c r="F609" s="80"/>
      <c r="G609" s="80"/>
      <c r="H609" s="80" t="s">
        <v>857</v>
      </c>
      <c r="I609" s="80"/>
      <c r="J609" s="80"/>
      <c r="K609" s="80"/>
      <c r="L609" s="80"/>
      <c r="M609" s="80"/>
      <c r="N609" s="80"/>
      <c r="O609" s="81"/>
      <c r="P609" s="81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3"/>
    </row>
    <row r="610" spans="1:29" s="2" customFormat="1" ht="31" x14ac:dyDescent="0.35">
      <c r="A610" s="79" t="s">
        <v>848</v>
      </c>
      <c r="B610" s="80" t="s">
        <v>849</v>
      </c>
      <c r="C610" s="80" t="s">
        <v>856</v>
      </c>
      <c r="D610" s="80"/>
      <c r="E610" s="80"/>
      <c r="F610" s="80"/>
      <c r="G610" s="80"/>
      <c r="H610" s="80" t="s">
        <v>858</v>
      </c>
      <c r="I610" s="80"/>
      <c r="J610" s="80"/>
      <c r="K610" s="80"/>
      <c r="L610" s="80"/>
      <c r="M610" s="80"/>
      <c r="N610" s="80"/>
      <c r="O610" s="81"/>
      <c r="P610" s="81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3"/>
    </row>
    <row r="611" spans="1:29" ht="62" x14ac:dyDescent="0.35">
      <c r="A611" s="165" t="s">
        <v>848</v>
      </c>
      <c r="B611" s="83" t="s">
        <v>849</v>
      </c>
      <c r="C611" s="84" t="s">
        <v>859</v>
      </c>
      <c r="D611" s="84"/>
      <c r="E611" s="85" t="s">
        <v>40</v>
      </c>
      <c r="F611" s="84"/>
      <c r="G611" s="85" t="s">
        <v>40</v>
      </c>
      <c r="H611" s="83" t="s">
        <v>860</v>
      </c>
      <c r="I611" s="84" t="s">
        <v>851</v>
      </c>
      <c r="J611" s="83" t="s">
        <v>43</v>
      </c>
      <c r="K611" s="83" t="s">
        <v>43</v>
      </c>
      <c r="L611" s="83"/>
      <c r="M611" s="83" t="s">
        <v>44</v>
      </c>
      <c r="N611" s="86">
        <v>744.48</v>
      </c>
      <c r="O611" s="86">
        <v>4320</v>
      </c>
      <c r="P611" s="86"/>
      <c r="Q611" s="87"/>
      <c r="R611" s="93" t="s">
        <v>45</v>
      </c>
      <c r="S611" s="87"/>
      <c r="T611" s="87"/>
      <c r="U611" s="87"/>
      <c r="V611" s="87"/>
      <c r="W611" s="87"/>
      <c r="X611" s="93" t="s">
        <v>45</v>
      </c>
      <c r="Y611" s="87"/>
      <c r="Z611" s="87"/>
      <c r="AA611" s="87"/>
      <c r="AB611" s="87"/>
      <c r="AC611" s="8"/>
    </row>
    <row r="612" spans="1:29" x14ac:dyDescent="0.35">
      <c r="A612" s="165" t="s">
        <v>218</v>
      </c>
      <c r="B612" s="83" t="s">
        <v>219</v>
      </c>
      <c r="C612" s="84"/>
      <c r="D612" s="84"/>
      <c r="E612" s="85"/>
      <c r="F612" s="84"/>
      <c r="G612" s="85"/>
      <c r="H612" s="83" t="s">
        <v>861</v>
      </c>
      <c r="I612" s="84"/>
      <c r="J612" s="83" t="s">
        <v>862</v>
      </c>
      <c r="K612" s="83" t="s">
        <v>43</v>
      </c>
      <c r="L612" s="83"/>
      <c r="M612" s="83"/>
      <c r="N612" s="86"/>
      <c r="O612" s="86"/>
      <c r="P612" s="86"/>
      <c r="Q612" s="87"/>
      <c r="R612" s="93" t="s">
        <v>45</v>
      </c>
      <c r="S612" s="87"/>
      <c r="T612" s="87"/>
      <c r="U612" s="87"/>
      <c r="V612" s="87"/>
      <c r="W612" s="87"/>
      <c r="X612" s="78" t="s">
        <v>40</v>
      </c>
      <c r="Y612" s="87"/>
      <c r="Z612" s="87"/>
      <c r="AA612" s="87"/>
      <c r="AB612" s="87"/>
      <c r="AC612" s="8"/>
    </row>
    <row r="613" spans="1:29" s="2" customFormat="1" ht="31" x14ac:dyDescent="0.35">
      <c r="A613" s="79" t="s">
        <v>848</v>
      </c>
      <c r="B613" s="80" t="s">
        <v>849</v>
      </c>
      <c r="C613" s="80" t="s">
        <v>859</v>
      </c>
      <c r="D613" s="80"/>
      <c r="E613" s="80"/>
      <c r="F613" s="80"/>
      <c r="G613" s="80"/>
      <c r="H613" s="80" t="s">
        <v>863</v>
      </c>
      <c r="I613" s="80"/>
      <c r="J613" s="80"/>
      <c r="K613" s="80"/>
      <c r="L613" s="80"/>
      <c r="M613" s="80"/>
      <c r="N613" s="80"/>
      <c r="O613" s="81"/>
      <c r="P613" s="81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3"/>
    </row>
    <row r="614" spans="1:29" s="2" customFormat="1" ht="31" x14ac:dyDescent="0.35">
      <c r="A614" s="79" t="s">
        <v>848</v>
      </c>
      <c r="B614" s="80" t="s">
        <v>849</v>
      </c>
      <c r="C614" s="80" t="s">
        <v>859</v>
      </c>
      <c r="D614" s="80"/>
      <c r="E614" s="80"/>
      <c r="F614" s="80"/>
      <c r="G614" s="80"/>
      <c r="H614" s="80" t="s">
        <v>864</v>
      </c>
      <c r="I614" s="80"/>
      <c r="J614" s="80"/>
      <c r="K614" s="80"/>
      <c r="L614" s="80"/>
      <c r="M614" s="80"/>
      <c r="N614" s="80"/>
      <c r="O614" s="81"/>
      <c r="P614" s="81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3"/>
    </row>
    <row r="615" spans="1:29" s="2" customFormat="1" ht="31" x14ac:dyDescent="0.35">
      <c r="A615" s="79" t="s">
        <v>848</v>
      </c>
      <c r="B615" s="80" t="s">
        <v>849</v>
      </c>
      <c r="C615" s="80" t="s">
        <v>859</v>
      </c>
      <c r="D615" s="80"/>
      <c r="E615" s="80"/>
      <c r="F615" s="80"/>
      <c r="G615" s="80"/>
      <c r="H615" s="80" t="s">
        <v>865</v>
      </c>
      <c r="I615" s="80"/>
      <c r="J615" s="80"/>
      <c r="K615" s="80"/>
      <c r="L615" s="80"/>
      <c r="M615" s="80"/>
      <c r="N615" s="80"/>
      <c r="O615" s="81"/>
      <c r="P615" s="81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3"/>
    </row>
    <row r="616" spans="1:29" ht="62" x14ac:dyDescent="0.35">
      <c r="A616" s="165" t="s">
        <v>848</v>
      </c>
      <c r="B616" s="83" t="s">
        <v>849</v>
      </c>
      <c r="C616" s="84" t="s">
        <v>866</v>
      </c>
      <c r="D616" s="89" t="s">
        <v>72</v>
      </c>
      <c r="E616" s="84"/>
      <c r="F616" s="84"/>
      <c r="G616" s="84"/>
      <c r="H616" s="83" t="s">
        <v>867</v>
      </c>
      <c r="I616" s="84" t="s">
        <v>851</v>
      </c>
      <c r="J616" s="83" t="s">
        <v>43</v>
      </c>
      <c r="K616" s="83" t="s">
        <v>43</v>
      </c>
      <c r="L616" s="83"/>
      <c r="M616" s="83" t="s">
        <v>44</v>
      </c>
      <c r="N616" s="86">
        <v>372.24</v>
      </c>
      <c r="O616" s="86">
        <v>480</v>
      </c>
      <c r="P616" s="86"/>
      <c r="Q616" s="87"/>
      <c r="R616" s="87"/>
      <c r="S616" s="87"/>
      <c r="T616" s="87"/>
      <c r="U616" s="87"/>
      <c r="V616" s="93" t="s">
        <v>86</v>
      </c>
      <c r="W616" s="87"/>
      <c r="X616" s="87"/>
      <c r="Y616" s="87"/>
      <c r="Z616" s="87"/>
      <c r="AA616" s="87"/>
      <c r="AB616" s="87"/>
      <c r="AC616" s="8" t="s">
        <v>868</v>
      </c>
    </row>
    <row r="617" spans="1:29" s="2" customFormat="1" ht="31" x14ac:dyDescent="0.35">
      <c r="A617" s="79" t="s">
        <v>848</v>
      </c>
      <c r="B617" s="80" t="s">
        <v>849</v>
      </c>
      <c r="C617" s="80" t="s">
        <v>866</v>
      </c>
      <c r="D617" s="80"/>
      <c r="E617" s="80"/>
      <c r="F617" s="80"/>
      <c r="G617" s="80"/>
      <c r="H617" s="80" t="s">
        <v>869</v>
      </c>
      <c r="I617" s="80"/>
      <c r="J617" s="80"/>
      <c r="K617" s="80"/>
      <c r="L617" s="80"/>
      <c r="M617" s="80"/>
      <c r="N617" s="80"/>
      <c r="O617" s="81"/>
      <c r="P617" s="81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3"/>
    </row>
    <row r="618" spans="1:29" s="2" customFormat="1" ht="31" x14ac:dyDescent="0.35">
      <c r="A618" s="79" t="s">
        <v>848</v>
      </c>
      <c r="B618" s="80" t="s">
        <v>849</v>
      </c>
      <c r="C618" s="80" t="s">
        <v>866</v>
      </c>
      <c r="D618" s="80"/>
      <c r="E618" s="80"/>
      <c r="F618" s="80"/>
      <c r="G618" s="80"/>
      <c r="H618" s="80" t="s">
        <v>870</v>
      </c>
      <c r="I618" s="80"/>
      <c r="J618" s="80"/>
      <c r="K618" s="80"/>
      <c r="L618" s="80"/>
      <c r="M618" s="80"/>
      <c r="N618" s="80"/>
      <c r="O618" s="81"/>
      <c r="P618" s="81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3"/>
    </row>
    <row r="619" spans="1:29" s="2" customFormat="1" ht="31" x14ac:dyDescent="0.35">
      <c r="A619" s="79" t="s">
        <v>848</v>
      </c>
      <c r="B619" s="80" t="s">
        <v>849</v>
      </c>
      <c r="C619" s="80" t="s">
        <v>866</v>
      </c>
      <c r="D619" s="80"/>
      <c r="E619" s="80"/>
      <c r="F619" s="80"/>
      <c r="G619" s="80"/>
      <c r="H619" s="80" t="s">
        <v>871</v>
      </c>
      <c r="I619" s="80"/>
      <c r="J619" s="80"/>
      <c r="K619" s="80"/>
      <c r="L619" s="80"/>
      <c r="M619" s="80"/>
      <c r="N619" s="80"/>
      <c r="O619" s="81"/>
      <c r="P619" s="81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3"/>
    </row>
    <row r="620" spans="1:29" s="2" customFormat="1" ht="31" x14ac:dyDescent="0.35">
      <c r="A620" s="79" t="s">
        <v>848</v>
      </c>
      <c r="B620" s="80" t="s">
        <v>849</v>
      </c>
      <c r="C620" s="80" t="s">
        <v>866</v>
      </c>
      <c r="D620" s="80"/>
      <c r="E620" s="80"/>
      <c r="F620" s="80"/>
      <c r="G620" s="80"/>
      <c r="H620" s="80" t="s">
        <v>872</v>
      </c>
      <c r="I620" s="80"/>
      <c r="J620" s="80"/>
      <c r="K620" s="80"/>
      <c r="L620" s="80"/>
      <c r="M620" s="80"/>
      <c r="N620" s="80"/>
      <c r="O620" s="81"/>
      <c r="P620" s="81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3"/>
    </row>
    <row r="621" spans="1:29" s="2" customFormat="1" ht="31" x14ac:dyDescent="0.35">
      <c r="A621" s="79" t="s">
        <v>848</v>
      </c>
      <c r="B621" s="80" t="s">
        <v>849</v>
      </c>
      <c r="C621" s="80" t="s">
        <v>866</v>
      </c>
      <c r="D621" s="80"/>
      <c r="E621" s="80"/>
      <c r="F621" s="80"/>
      <c r="G621" s="80"/>
      <c r="H621" s="80" t="s">
        <v>873</v>
      </c>
      <c r="I621" s="80"/>
      <c r="J621" s="80"/>
      <c r="K621" s="80"/>
      <c r="L621" s="80"/>
      <c r="M621" s="80"/>
      <c r="N621" s="80"/>
      <c r="O621" s="81"/>
      <c r="P621" s="81"/>
      <c r="Q621" s="82"/>
      <c r="R621" s="82"/>
      <c r="S621" s="188"/>
      <c r="T621" s="188"/>
      <c r="U621" s="188"/>
      <c r="V621" s="188"/>
      <c r="W621" s="188"/>
      <c r="X621" s="188"/>
      <c r="Y621" s="82"/>
      <c r="Z621" s="82"/>
      <c r="AA621" s="82"/>
      <c r="AB621" s="82"/>
      <c r="AC621" s="3"/>
    </row>
    <row r="622" spans="1:29" ht="62" x14ac:dyDescent="0.35">
      <c r="A622" s="165" t="s">
        <v>848</v>
      </c>
      <c r="B622" s="83" t="s">
        <v>849</v>
      </c>
      <c r="C622" s="84" t="s">
        <v>874</v>
      </c>
      <c r="D622" s="89" t="s">
        <v>64</v>
      </c>
      <c r="E622" s="84"/>
      <c r="F622" s="84"/>
      <c r="G622" s="84"/>
      <c r="H622" s="83" t="s">
        <v>728</v>
      </c>
      <c r="I622" s="84" t="s">
        <v>851</v>
      </c>
      <c r="J622" s="83" t="s">
        <v>74</v>
      </c>
      <c r="K622" s="83" t="s">
        <v>75</v>
      </c>
      <c r="L622" s="88" t="s">
        <v>66</v>
      </c>
      <c r="M622" s="72" t="s">
        <v>67</v>
      </c>
      <c r="N622" s="111">
        <v>0</v>
      </c>
      <c r="O622" s="86">
        <v>0</v>
      </c>
      <c r="P622" s="86"/>
      <c r="Q622" s="208" t="s">
        <v>64</v>
      </c>
      <c r="R622" s="186"/>
      <c r="S622" s="145"/>
      <c r="T622" s="216" t="s">
        <v>68</v>
      </c>
      <c r="U622" s="145"/>
      <c r="V622" s="145"/>
      <c r="W622" s="216" t="s">
        <v>68</v>
      </c>
      <c r="X622" s="145"/>
      <c r="Y622" s="130"/>
      <c r="Z622" s="216" t="s">
        <v>68</v>
      </c>
      <c r="AA622" s="87"/>
      <c r="AB622" s="87"/>
      <c r="AC622" s="8"/>
    </row>
    <row r="623" spans="1:29" s="2" customFormat="1" ht="31" x14ac:dyDescent="0.35">
      <c r="A623" s="79" t="s">
        <v>848</v>
      </c>
      <c r="B623" s="80" t="s">
        <v>849</v>
      </c>
      <c r="C623" s="80" t="s">
        <v>874</v>
      </c>
      <c r="D623" s="80"/>
      <c r="E623" s="80"/>
      <c r="F623" s="80"/>
      <c r="G623" s="80"/>
      <c r="H623" s="80" t="s">
        <v>875</v>
      </c>
      <c r="I623" s="80"/>
      <c r="J623" s="80"/>
      <c r="K623" s="80"/>
      <c r="L623" s="80"/>
      <c r="M623" s="80"/>
      <c r="N623" s="80"/>
      <c r="O623" s="81"/>
      <c r="P623" s="81"/>
      <c r="Q623" s="82"/>
      <c r="R623" s="82"/>
      <c r="S623" s="189"/>
      <c r="T623" s="189"/>
      <c r="U623" s="189"/>
      <c r="V623" s="189"/>
      <c r="W623" s="189"/>
      <c r="X623" s="189"/>
      <c r="Y623" s="82"/>
      <c r="Z623" s="82"/>
      <c r="AA623" s="82"/>
      <c r="AB623" s="82"/>
      <c r="AC623" s="3"/>
    </row>
    <row r="624" spans="1:29" s="2" customFormat="1" ht="31" x14ac:dyDescent="0.35">
      <c r="A624" s="79" t="s">
        <v>848</v>
      </c>
      <c r="B624" s="80" t="s">
        <v>849</v>
      </c>
      <c r="C624" s="80" t="s">
        <v>874</v>
      </c>
      <c r="D624" s="80"/>
      <c r="E624" s="80"/>
      <c r="F624" s="80"/>
      <c r="G624" s="80"/>
      <c r="H624" s="80" t="s">
        <v>876</v>
      </c>
      <c r="I624" s="80"/>
      <c r="J624" s="80"/>
      <c r="K624" s="80"/>
      <c r="L624" s="80"/>
      <c r="M624" s="80"/>
      <c r="N624" s="80"/>
      <c r="O624" s="81"/>
      <c r="P624" s="81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3"/>
    </row>
    <row r="625" spans="1:29" s="2" customFormat="1" ht="31" x14ac:dyDescent="0.35">
      <c r="A625" s="79" t="s">
        <v>848</v>
      </c>
      <c r="B625" s="80" t="s">
        <v>849</v>
      </c>
      <c r="C625" s="80" t="s">
        <v>874</v>
      </c>
      <c r="D625" s="80"/>
      <c r="E625" s="80"/>
      <c r="F625" s="80"/>
      <c r="G625" s="80"/>
      <c r="H625" s="80" t="s">
        <v>877</v>
      </c>
      <c r="I625" s="80"/>
      <c r="J625" s="80"/>
      <c r="K625" s="80"/>
      <c r="L625" s="80"/>
      <c r="M625" s="80"/>
      <c r="N625" s="80"/>
      <c r="O625" s="81"/>
      <c r="P625" s="81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3"/>
    </row>
    <row r="626" spans="1:29" ht="31" x14ac:dyDescent="0.35">
      <c r="A626" s="165" t="s">
        <v>848</v>
      </c>
      <c r="B626" s="83" t="s">
        <v>849</v>
      </c>
      <c r="C626" s="84" t="s">
        <v>878</v>
      </c>
      <c r="D626" s="89" t="s">
        <v>72</v>
      </c>
      <c r="E626" s="84"/>
      <c r="F626" s="84"/>
      <c r="G626" s="84"/>
      <c r="H626" s="83" t="s">
        <v>879</v>
      </c>
      <c r="I626" s="84" t="s">
        <v>880</v>
      </c>
      <c r="J626" s="83" t="s">
        <v>43</v>
      </c>
      <c r="K626" s="83" t="s">
        <v>43</v>
      </c>
      <c r="L626" s="83"/>
      <c r="M626" s="83" t="s">
        <v>44</v>
      </c>
      <c r="N626" s="86">
        <v>1450</v>
      </c>
      <c r="O626" s="86">
        <v>480</v>
      </c>
      <c r="P626" s="86"/>
      <c r="Q626" s="87"/>
      <c r="R626" s="87"/>
      <c r="S626" s="87"/>
      <c r="T626" s="93" t="s">
        <v>86</v>
      </c>
      <c r="U626" s="87"/>
      <c r="V626" s="87"/>
      <c r="W626" s="87"/>
      <c r="X626" s="87"/>
      <c r="Y626" s="87"/>
      <c r="Z626" s="87"/>
      <c r="AA626" s="87"/>
      <c r="AB626" s="87"/>
      <c r="AC626" s="8"/>
    </row>
    <row r="627" spans="1:29" s="2" customFormat="1" ht="31" x14ac:dyDescent="0.35">
      <c r="A627" s="79" t="s">
        <v>848</v>
      </c>
      <c r="B627" s="80" t="s">
        <v>849</v>
      </c>
      <c r="C627" s="80" t="s">
        <v>878</v>
      </c>
      <c r="D627" s="80"/>
      <c r="E627" s="80"/>
      <c r="F627" s="80"/>
      <c r="G627" s="80"/>
      <c r="H627" s="80" t="s">
        <v>881</v>
      </c>
      <c r="I627" s="80"/>
      <c r="J627" s="80"/>
      <c r="K627" s="80"/>
      <c r="L627" s="80"/>
      <c r="M627" s="80"/>
      <c r="N627" s="80"/>
      <c r="O627" s="81"/>
      <c r="P627" s="81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3"/>
    </row>
    <row r="628" spans="1:29" s="2" customFormat="1" ht="31" x14ac:dyDescent="0.35">
      <c r="A628" s="79" t="s">
        <v>848</v>
      </c>
      <c r="B628" s="80" t="s">
        <v>849</v>
      </c>
      <c r="C628" s="80" t="s">
        <v>878</v>
      </c>
      <c r="D628" s="80"/>
      <c r="E628" s="80"/>
      <c r="F628" s="80"/>
      <c r="G628" s="80"/>
      <c r="H628" s="80" t="s">
        <v>882</v>
      </c>
      <c r="I628" s="80"/>
      <c r="J628" s="80"/>
      <c r="K628" s="80"/>
      <c r="L628" s="80"/>
      <c r="M628" s="80"/>
      <c r="N628" s="80"/>
      <c r="O628" s="81"/>
      <c r="P628" s="81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3"/>
    </row>
    <row r="629" spans="1:29" ht="62" x14ac:dyDescent="0.35">
      <c r="A629" s="165" t="s">
        <v>848</v>
      </c>
      <c r="B629" s="83" t="s">
        <v>849</v>
      </c>
      <c r="C629" s="84" t="s">
        <v>883</v>
      </c>
      <c r="D629" s="84"/>
      <c r="E629" s="85" t="s">
        <v>72</v>
      </c>
      <c r="F629" s="84"/>
      <c r="G629" s="85" t="s">
        <v>72</v>
      </c>
      <c r="H629" s="83" t="s">
        <v>85</v>
      </c>
      <c r="I629" s="84" t="s">
        <v>851</v>
      </c>
      <c r="J629" s="83" t="s">
        <v>43</v>
      </c>
      <c r="K629" s="83" t="s">
        <v>43</v>
      </c>
      <c r="L629" s="83"/>
      <c r="M629" s="83" t="s">
        <v>44</v>
      </c>
      <c r="N629" s="86">
        <v>372.24</v>
      </c>
      <c r="O629" s="86">
        <v>480</v>
      </c>
      <c r="P629" s="86"/>
      <c r="Q629" s="87"/>
      <c r="R629" s="87"/>
      <c r="S629" s="87"/>
      <c r="T629" s="87"/>
      <c r="U629" s="93" t="s">
        <v>86</v>
      </c>
      <c r="V629" s="87"/>
      <c r="W629" s="87"/>
      <c r="X629" s="87"/>
      <c r="Y629" s="87"/>
      <c r="Z629" s="87"/>
      <c r="AA629" s="87"/>
      <c r="AB629" s="87"/>
      <c r="AC629" s="8"/>
    </row>
    <row r="630" spans="1:29" s="2" customFormat="1" ht="31" x14ac:dyDescent="0.35">
      <c r="A630" s="79" t="s">
        <v>848</v>
      </c>
      <c r="B630" s="80" t="s">
        <v>849</v>
      </c>
      <c r="C630" s="80" t="s">
        <v>883</v>
      </c>
      <c r="D630" s="80"/>
      <c r="E630" s="80"/>
      <c r="F630" s="80"/>
      <c r="G630" s="80"/>
      <c r="H630" s="80" t="s">
        <v>884</v>
      </c>
      <c r="I630" s="80"/>
      <c r="J630" s="80"/>
      <c r="K630" s="80"/>
      <c r="L630" s="80"/>
      <c r="M630" s="80"/>
      <c r="N630" s="80"/>
      <c r="O630" s="81"/>
      <c r="P630" s="81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3"/>
    </row>
    <row r="631" spans="1:29" s="2" customFormat="1" ht="31" x14ac:dyDescent="0.35">
      <c r="A631" s="79" t="s">
        <v>848</v>
      </c>
      <c r="B631" s="80" t="s">
        <v>849</v>
      </c>
      <c r="C631" s="80" t="s">
        <v>883</v>
      </c>
      <c r="D631" s="80"/>
      <c r="E631" s="80"/>
      <c r="F631" s="80"/>
      <c r="G631" s="80"/>
      <c r="H631" s="80" t="s">
        <v>885</v>
      </c>
      <c r="I631" s="80"/>
      <c r="J631" s="80"/>
      <c r="K631" s="80"/>
      <c r="L631" s="80"/>
      <c r="M631" s="80"/>
      <c r="N631" s="80"/>
      <c r="O631" s="81"/>
      <c r="P631" s="81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3"/>
    </row>
    <row r="632" spans="1:29" s="2" customFormat="1" ht="31" x14ac:dyDescent="0.35">
      <c r="A632" s="79" t="s">
        <v>848</v>
      </c>
      <c r="B632" s="80" t="s">
        <v>849</v>
      </c>
      <c r="C632" s="80" t="s">
        <v>883</v>
      </c>
      <c r="D632" s="80"/>
      <c r="E632" s="80"/>
      <c r="F632" s="80"/>
      <c r="G632" s="80"/>
      <c r="H632" s="80" t="s">
        <v>886</v>
      </c>
      <c r="I632" s="80"/>
      <c r="J632" s="80"/>
      <c r="K632" s="80"/>
      <c r="L632" s="80"/>
      <c r="M632" s="80"/>
      <c r="N632" s="80"/>
      <c r="O632" s="81"/>
      <c r="P632" s="81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3"/>
    </row>
    <row r="633" spans="1:29" s="2" customFormat="1" ht="31" x14ac:dyDescent="0.35">
      <c r="A633" s="79" t="s">
        <v>848</v>
      </c>
      <c r="B633" s="80" t="s">
        <v>849</v>
      </c>
      <c r="C633" s="80" t="s">
        <v>883</v>
      </c>
      <c r="D633" s="80"/>
      <c r="E633" s="80"/>
      <c r="F633" s="80"/>
      <c r="G633" s="80"/>
      <c r="H633" s="80" t="s">
        <v>887</v>
      </c>
      <c r="I633" s="80"/>
      <c r="J633" s="80"/>
      <c r="K633" s="80"/>
      <c r="L633" s="80"/>
      <c r="M633" s="80"/>
      <c r="N633" s="80"/>
      <c r="O633" s="81"/>
      <c r="P633" s="81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3"/>
    </row>
    <row r="634" spans="1:29" s="2" customFormat="1" ht="31" x14ac:dyDescent="0.35">
      <c r="A634" s="79" t="s">
        <v>848</v>
      </c>
      <c r="B634" s="80" t="s">
        <v>849</v>
      </c>
      <c r="C634" s="80" t="s">
        <v>883</v>
      </c>
      <c r="D634" s="80"/>
      <c r="E634" s="80"/>
      <c r="F634" s="80"/>
      <c r="G634" s="80"/>
      <c r="H634" s="80" t="s">
        <v>888</v>
      </c>
      <c r="I634" s="80"/>
      <c r="J634" s="80"/>
      <c r="K634" s="80"/>
      <c r="L634" s="80"/>
      <c r="M634" s="80"/>
      <c r="N634" s="80"/>
      <c r="O634" s="81"/>
      <c r="P634" s="81"/>
      <c r="Q634" s="188"/>
      <c r="R634" s="188"/>
      <c r="S634" s="188"/>
      <c r="T634" s="188"/>
      <c r="U634" s="188"/>
      <c r="V634" s="188"/>
      <c r="W634" s="188"/>
      <c r="X634" s="188"/>
      <c r="Y634" s="188"/>
      <c r="Z634" s="188"/>
      <c r="AA634" s="188"/>
      <c r="AB634" s="188"/>
      <c r="AC634" s="3"/>
    </row>
    <row r="635" spans="1:29" ht="62" x14ac:dyDescent="0.35">
      <c r="A635" s="165" t="s">
        <v>848</v>
      </c>
      <c r="B635" s="83" t="s">
        <v>849</v>
      </c>
      <c r="C635" s="84" t="s">
        <v>889</v>
      </c>
      <c r="D635" s="89" t="s">
        <v>40</v>
      </c>
      <c r="E635" s="84"/>
      <c r="F635" s="84"/>
      <c r="G635" s="84"/>
      <c r="H635" s="95" t="s">
        <v>194</v>
      </c>
      <c r="I635" s="84" t="s">
        <v>851</v>
      </c>
      <c r="J635" s="88" t="s">
        <v>195</v>
      </c>
      <c r="K635" s="88" t="s">
        <v>75</v>
      </c>
      <c r="L635" s="83"/>
      <c r="M635" s="83"/>
      <c r="N635" s="86">
        <v>713.34</v>
      </c>
      <c r="O635" s="86">
        <v>200</v>
      </c>
      <c r="P635" s="218"/>
      <c r="Q635" s="265" t="s">
        <v>45</v>
      </c>
      <c r="R635" s="217"/>
      <c r="S635" s="217"/>
      <c r="T635" s="217"/>
      <c r="U635" s="217"/>
      <c r="V635" s="217"/>
      <c r="W635" s="216" t="s">
        <v>45</v>
      </c>
      <c r="X635" s="217"/>
      <c r="Y635" s="217"/>
      <c r="Z635" s="217"/>
      <c r="AA635" s="217"/>
      <c r="AB635" s="217"/>
      <c r="AC635" s="51"/>
    </row>
    <row r="636" spans="1:29" ht="62" x14ac:dyDescent="0.35">
      <c r="A636" s="165" t="s">
        <v>848</v>
      </c>
      <c r="B636" s="83" t="s">
        <v>849</v>
      </c>
      <c r="C636" s="95" t="s">
        <v>194</v>
      </c>
      <c r="D636" s="84" t="s">
        <v>851</v>
      </c>
      <c r="E636" s="84"/>
      <c r="F636" s="84"/>
      <c r="G636" s="84"/>
      <c r="H636" s="95" t="s">
        <v>890</v>
      </c>
      <c r="I636" s="84" t="s">
        <v>851</v>
      </c>
      <c r="J636" s="88" t="s">
        <v>74</v>
      </c>
      <c r="K636" s="88" t="s">
        <v>75</v>
      </c>
      <c r="L636" s="83"/>
      <c r="M636" s="83"/>
      <c r="N636" s="86"/>
      <c r="O636" s="86"/>
      <c r="P636" s="86"/>
      <c r="Q636" s="205" t="s">
        <v>100</v>
      </c>
      <c r="R636" s="205" t="s">
        <v>100</v>
      </c>
      <c r="S636" s="205" t="s">
        <v>100</v>
      </c>
      <c r="T636" s="205" t="s">
        <v>100</v>
      </c>
      <c r="U636" s="205" t="s">
        <v>100</v>
      </c>
      <c r="V636" s="205" t="s">
        <v>100</v>
      </c>
      <c r="W636" s="205" t="s">
        <v>100</v>
      </c>
      <c r="X636" s="205" t="s">
        <v>100</v>
      </c>
      <c r="Y636" s="205" t="s">
        <v>100</v>
      </c>
      <c r="Z636" s="205" t="s">
        <v>100</v>
      </c>
      <c r="AA636" s="205" t="s">
        <v>100</v>
      </c>
      <c r="AB636" s="205" t="s">
        <v>100</v>
      </c>
      <c r="AC636" s="8"/>
    </row>
    <row r="637" spans="1:29" s="2" customFormat="1" ht="31" x14ac:dyDescent="0.35">
      <c r="A637" s="79" t="s">
        <v>848</v>
      </c>
      <c r="B637" s="80" t="s">
        <v>849</v>
      </c>
      <c r="C637" s="80" t="s">
        <v>889</v>
      </c>
      <c r="D637" s="80"/>
      <c r="E637" s="80"/>
      <c r="F637" s="80"/>
      <c r="G637" s="80"/>
      <c r="H637" s="80" t="s">
        <v>891</v>
      </c>
      <c r="I637" s="80"/>
      <c r="J637" s="80"/>
      <c r="K637" s="80"/>
      <c r="L637" s="80"/>
      <c r="M637" s="80"/>
      <c r="N637" s="80"/>
      <c r="O637" s="81"/>
      <c r="P637" s="81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3"/>
    </row>
    <row r="638" spans="1:29" s="2" customFormat="1" ht="31" x14ac:dyDescent="0.35">
      <c r="A638" s="79" t="s">
        <v>848</v>
      </c>
      <c r="B638" s="80" t="s">
        <v>849</v>
      </c>
      <c r="C638" s="80" t="s">
        <v>889</v>
      </c>
      <c r="D638" s="80"/>
      <c r="E638" s="80"/>
      <c r="F638" s="80"/>
      <c r="G638" s="80"/>
      <c r="H638" s="80" t="s">
        <v>892</v>
      </c>
      <c r="I638" s="80"/>
      <c r="J638" s="80"/>
      <c r="K638" s="80"/>
      <c r="L638" s="80"/>
      <c r="M638" s="80"/>
      <c r="N638" s="80"/>
      <c r="O638" s="81"/>
      <c r="P638" s="81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3"/>
    </row>
    <row r="639" spans="1:29" ht="77.5" x14ac:dyDescent="0.35">
      <c r="A639" s="165" t="s">
        <v>848</v>
      </c>
      <c r="B639" s="83" t="s">
        <v>849</v>
      </c>
      <c r="C639" s="136" t="s">
        <v>893</v>
      </c>
      <c r="D639" s="137" t="s">
        <v>99</v>
      </c>
      <c r="E639" s="136"/>
      <c r="F639" s="136"/>
      <c r="G639" s="136"/>
      <c r="H639" s="83" t="s">
        <v>177</v>
      </c>
      <c r="I639" s="84" t="s">
        <v>880</v>
      </c>
      <c r="J639" s="83" t="s">
        <v>179</v>
      </c>
      <c r="K639" s="83" t="s">
        <v>75</v>
      </c>
      <c r="L639" s="83"/>
      <c r="M639" s="83"/>
      <c r="N639" s="86" t="s">
        <v>44</v>
      </c>
      <c r="O639" s="86" t="s">
        <v>44</v>
      </c>
      <c r="P639" s="86"/>
      <c r="Q639" s="93" t="s">
        <v>100</v>
      </c>
      <c r="R639" s="93" t="s">
        <v>100</v>
      </c>
      <c r="S639" s="93" t="s">
        <v>100</v>
      </c>
      <c r="T639" s="93" t="s">
        <v>100</v>
      </c>
      <c r="U639" s="93" t="s">
        <v>100</v>
      </c>
      <c r="V639" s="93" t="s">
        <v>100</v>
      </c>
      <c r="W639" s="93" t="s">
        <v>100</v>
      </c>
      <c r="X639" s="93" t="s">
        <v>100</v>
      </c>
      <c r="Y639" s="93" t="s">
        <v>100</v>
      </c>
      <c r="Z639" s="93" t="s">
        <v>100</v>
      </c>
      <c r="AA639" s="93" t="s">
        <v>100</v>
      </c>
      <c r="AB639" s="93" t="s">
        <v>100</v>
      </c>
      <c r="AC639" s="8" t="s">
        <v>180</v>
      </c>
    </row>
    <row r="640" spans="1:29" s="2" customFormat="1" ht="46.5" x14ac:dyDescent="0.35">
      <c r="A640" s="79" t="s">
        <v>848</v>
      </c>
      <c r="B640" s="80" t="s">
        <v>849</v>
      </c>
      <c r="C640" s="80" t="s">
        <v>893</v>
      </c>
      <c r="D640" s="80"/>
      <c r="E640" s="80"/>
      <c r="F640" s="80"/>
      <c r="G640" s="80"/>
      <c r="H640" s="80" t="s">
        <v>894</v>
      </c>
      <c r="I640" s="80"/>
      <c r="J640" s="80"/>
      <c r="K640" s="80"/>
      <c r="L640" s="80"/>
      <c r="M640" s="80"/>
      <c r="N640" s="80"/>
      <c r="O640" s="81"/>
      <c r="P640" s="81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3"/>
    </row>
    <row r="641" spans="1:29" ht="62" x14ac:dyDescent="0.35">
      <c r="A641" s="165" t="s">
        <v>848</v>
      </c>
      <c r="B641" s="83" t="s">
        <v>849</v>
      </c>
      <c r="C641" s="84" t="s">
        <v>895</v>
      </c>
      <c r="D641" s="89" t="s">
        <v>40</v>
      </c>
      <c r="E641" s="85" t="s">
        <v>72</v>
      </c>
      <c r="F641" s="84"/>
      <c r="G641" s="85" t="s">
        <v>72</v>
      </c>
      <c r="H641" s="83" t="s">
        <v>428</v>
      </c>
      <c r="I641" s="84" t="s">
        <v>851</v>
      </c>
      <c r="J641" s="83" t="s">
        <v>118</v>
      </c>
      <c r="K641" s="83" t="s">
        <v>75</v>
      </c>
      <c r="L641" s="83"/>
      <c r="M641" s="83" t="s">
        <v>119</v>
      </c>
      <c r="N641" s="86" t="s">
        <v>120</v>
      </c>
      <c r="O641" s="86" t="s">
        <v>120</v>
      </c>
      <c r="P641" s="86"/>
      <c r="Q641" s="87"/>
      <c r="R641" s="93" t="s">
        <v>86</v>
      </c>
      <c r="S641" s="87"/>
      <c r="T641" s="87"/>
      <c r="U641" s="87"/>
      <c r="V641" s="87"/>
      <c r="W641" s="87"/>
      <c r="X641" s="93" t="s">
        <v>45</v>
      </c>
      <c r="Y641" s="87"/>
      <c r="Z641" s="87"/>
      <c r="AA641" s="87"/>
      <c r="AB641" s="87"/>
      <c r="AC641" s="8"/>
    </row>
    <row r="642" spans="1:29" s="2" customFormat="1" ht="31" x14ac:dyDescent="0.35">
      <c r="A642" s="79" t="s">
        <v>848</v>
      </c>
      <c r="B642" s="80" t="s">
        <v>849</v>
      </c>
      <c r="C642" s="80" t="s">
        <v>895</v>
      </c>
      <c r="D642" s="80"/>
      <c r="E642" s="80"/>
      <c r="F642" s="80"/>
      <c r="G642" s="80"/>
      <c r="H642" s="80" t="s">
        <v>896</v>
      </c>
      <c r="I642" s="80"/>
      <c r="J642" s="80"/>
      <c r="K642" s="80"/>
      <c r="L642" s="80"/>
      <c r="M642" s="80"/>
      <c r="N642" s="80"/>
      <c r="O642" s="81"/>
      <c r="P642" s="81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3"/>
    </row>
    <row r="643" spans="1:29" s="2" customFormat="1" ht="31" x14ac:dyDescent="0.35">
      <c r="A643" s="79" t="s">
        <v>848</v>
      </c>
      <c r="B643" s="80" t="s">
        <v>849</v>
      </c>
      <c r="C643" s="80" t="s">
        <v>895</v>
      </c>
      <c r="D643" s="80"/>
      <c r="E643" s="80"/>
      <c r="F643" s="80"/>
      <c r="G643" s="80"/>
      <c r="H643" s="80" t="s">
        <v>896</v>
      </c>
      <c r="I643" s="80"/>
      <c r="J643" s="80"/>
      <c r="K643" s="80"/>
      <c r="L643" s="80"/>
      <c r="M643" s="80"/>
      <c r="N643" s="80"/>
      <c r="O643" s="81"/>
      <c r="P643" s="81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3"/>
    </row>
    <row r="644" spans="1:29" ht="62" x14ac:dyDescent="0.35">
      <c r="A644" s="83" t="s">
        <v>848</v>
      </c>
      <c r="B644" s="83" t="s">
        <v>849</v>
      </c>
      <c r="C644" s="84" t="s">
        <v>897</v>
      </c>
      <c r="D644" s="92" t="s">
        <v>72</v>
      </c>
      <c r="E644" s="84"/>
      <c r="F644" s="84"/>
      <c r="G644" s="84"/>
      <c r="H644" s="83" t="s">
        <v>898</v>
      </c>
      <c r="I644" s="84" t="s">
        <v>851</v>
      </c>
      <c r="J644" s="83" t="s">
        <v>43</v>
      </c>
      <c r="K644" s="83" t="s">
        <v>43</v>
      </c>
      <c r="L644" s="83"/>
      <c r="M644" s="83" t="s">
        <v>44</v>
      </c>
      <c r="N644" s="86">
        <v>372.24</v>
      </c>
      <c r="O644" s="86">
        <v>480</v>
      </c>
      <c r="P644" s="86"/>
      <c r="Q644" s="87"/>
      <c r="R644" s="87"/>
      <c r="S644" s="87"/>
      <c r="T644" s="78" t="s">
        <v>72</v>
      </c>
      <c r="U644" s="87"/>
      <c r="V644" s="87"/>
      <c r="W644" s="87"/>
      <c r="X644" s="87"/>
      <c r="Y644" s="87"/>
      <c r="Z644" s="87"/>
      <c r="AA644" s="87"/>
      <c r="AB644" s="87"/>
      <c r="AC644" s="8"/>
    </row>
    <row r="645" spans="1:29" ht="62" x14ac:dyDescent="0.35">
      <c r="A645" s="83" t="s">
        <v>848</v>
      </c>
      <c r="B645" s="83" t="s">
        <v>849</v>
      </c>
      <c r="C645" s="84" t="s">
        <v>899</v>
      </c>
      <c r="D645" s="92" t="s">
        <v>114</v>
      </c>
      <c r="E645" s="84"/>
      <c r="F645" s="84"/>
      <c r="G645" s="84"/>
      <c r="H645" s="83" t="s">
        <v>900</v>
      </c>
      <c r="I645" s="84" t="s">
        <v>851</v>
      </c>
      <c r="J645" s="83" t="s">
        <v>94</v>
      </c>
      <c r="K645" s="83" t="s">
        <v>75</v>
      </c>
      <c r="L645" s="88" t="s">
        <v>66</v>
      </c>
      <c r="M645" s="72" t="s">
        <v>67</v>
      </c>
      <c r="N645" s="86">
        <v>982.13</v>
      </c>
      <c r="O645" s="86">
        <v>0</v>
      </c>
      <c r="P645" s="86"/>
      <c r="Q645" s="87"/>
      <c r="R645" s="78" t="s">
        <v>72</v>
      </c>
      <c r="S645" s="87"/>
      <c r="T645" s="87"/>
      <c r="U645" s="87"/>
      <c r="V645" s="87"/>
      <c r="W645" s="87"/>
      <c r="X645" s="78" t="s">
        <v>40</v>
      </c>
      <c r="Y645" s="87"/>
      <c r="Z645" s="87"/>
      <c r="AA645" s="87"/>
      <c r="AB645" s="87"/>
      <c r="AC645" s="8"/>
    </row>
    <row r="646" spans="1:29" ht="62" x14ac:dyDescent="0.35">
      <c r="A646" s="83" t="s">
        <v>848</v>
      </c>
      <c r="B646" s="83" t="s">
        <v>849</v>
      </c>
      <c r="C646" s="84" t="s">
        <v>901</v>
      </c>
      <c r="D646" s="84"/>
      <c r="E646" s="98" t="s">
        <v>72</v>
      </c>
      <c r="F646" s="84"/>
      <c r="G646" s="98" t="s">
        <v>72</v>
      </c>
      <c r="H646" s="83" t="s">
        <v>902</v>
      </c>
      <c r="I646" s="84" t="s">
        <v>851</v>
      </c>
      <c r="J646" s="83" t="s">
        <v>43</v>
      </c>
      <c r="K646" s="83" t="s">
        <v>43</v>
      </c>
      <c r="L646" s="83"/>
      <c r="M646" s="83" t="s">
        <v>44</v>
      </c>
      <c r="N646" s="86">
        <v>186.12</v>
      </c>
      <c r="O646" s="86">
        <v>480</v>
      </c>
      <c r="P646" s="86"/>
      <c r="Q646" s="87"/>
      <c r="R646" s="87"/>
      <c r="S646" s="87"/>
      <c r="T646" s="78" t="s">
        <v>72</v>
      </c>
      <c r="U646" s="87"/>
      <c r="V646" s="87"/>
      <c r="W646" s="87"/>
      <c r="X646" s="87"/>
      <c r="Y646" s="87"/>
      <c r="Z646" s="87"/>
      <c r="AA646" s="87"/>
      <c r="AB646" s="87"/>
      <c r="AC646" s="8"/>
    </row>
    <row r="647" spans="1:29" ht="62" x14ac:dyDescent="0.35">
      <c r="A647" s="83" t="s">
        <v>848</v>
      </c>
      <c r="B647" s="83" t="s">
        <v>849</v>
      </c>
      <c r="C647" s="84" t="s">
        <v>903</v>
      </c>
      <c r="D647" s="84"/>
      <c r="E647" s="98" t="s">
        <v>72</v>
      </c>
      <c r="F647" s="84"/>
      <c r="G647" s="98" t="s">
        <v>72</v>
      </c>
      <c r="H647" s="83" t="s">
        <v>904</v>
      </c>
      <c r="I647" s="84" t="s">
        <v>851</v>
      </c>
      <c r="J647" s="83" t="s">
        <v>43</v>
      </c>
      <c r="K647" s="83" t="s">
        <v>43</v>
      </c>
      <c r="L647" s="83"/>
      <c r="M647" s="83" t="s">
        <v>44</v>
      </c>
      <c r="N647" s="86">
        <v>186.12</v>
      </c>
      <c r="O647" s="86" t="s">
        <v>905</v>
      </c>
      <c r="P647" s="86"/>
      <c r="Q647" s="87"/>
      <c r="R647" s="87"/>
      <c r="S647" s="87"/>
      <c r="T647" s="78" t="s">
        <v>72</v>
      </c>
      <c r="U647" s="87"/>
      <c r="V647" s="87"/>
      <c r="W647" s="87"/>
      <c r="X647" s="87"/>
      <c r="Y647" s="87"/>
      <c r="Z647" s="87"/>
      <c r="AA647" s="87"/>
      <c r="AB647" s="87"/>
      <c r="AC647" s="8"/>
    </row>
    <row r="648" spans="1:29" ht="62" x14ac:dyDescent="0.35">
      <c r="A648" s="83" t="s">
        <v>848</v>
      </c>
      <c r="B648" s="83" t="s">
        <v>849</v>
      </c>
      <c r="C648" s="84" t="s">
        <v>906</v>
      </c>
      <c r="D648" s="84"/>
      <c r="E648" s="98" t="s">
        <v>72</v>
      </c>
      <c r="F648" s="84"/>
      <c r="G648" s="84"/>
      <c r="H648" s="83" t="s">
        <v>907</v>
      </c>
      <c r="I648" s="84" t="s">
        <v>851</v>
      </c>
      <c r="J648" s="83" t="s">
        <v>702</v>
      </c>
      <c r="K648" s="83" t="s">
        <v>43</v>
      </c>
      <c r="L648" s="83"/>
      <c r="M648" s="83" t="s">
        <v>44</v>
      </c>
      <c r="N648" s="86">
        <v>3190.5</v>
      </c>
      <c r="O648" s="86">
        <v>2780</v>
      </c>
      <c r="P648" s="86"/>
      <c r="Q648" s="93" t="s">
        <v>189</v>
      </c>
      <c r="R648" s="87"/>
      <c r="S648" s="87"/>
      <c r="U648" s="87"/>
      <c r="V648" s="87"/>
      <c r="W648" s="87"/>
      <c r="X648" s="87"/>
      <c r="Y648" s="87"/>
      <c r="Z648" s="87"/>
      <c r="AA648" s="87"/>
      <c r="AB648" s="87"/>
      <c r="AC648" s="8"/>
    </row>
    <row r="649" spans="1:29" ht="62" x14ac:dyDescent="0.35">
      <c r="A649" s="83" t="s">
        <v>848</v>
      </c>
      <c r="B649" s="83" t="s">
        <v>849</v>
      </c>
      <c r="C649" s="84" t="s">
        <v>908</v>
      </c>
      <c r="D649" s="92" t="s">
        <v>114</v>
      </c>
      <c r="E649" s="84"/>
      <c r="F649" s="84"/>
      <c r="G649" s="84"/>
      <c r="H649" s="83" t="s">
        <v>909</v>
      </c>
      <c r="I649" s="84" t="s">
        <v>851</v>
      </c>
      <c r="J649" s="83" t="s">
        <v>94</v>
      </c>
      <c r="K649" s="83" t="s">
        <v>75</v>
      </c>
      <c r="L649" s="88" t="s">
        <v>66</v>
      </c>
      <c r="M649" s="72" t="s">
        <v>67</v>
      </c>
      <c r="N649" s="86">
        <v>982.13</v>
      </c>
      <c r="O649" s="86">
        <v>0</v>
      </c>
      <c r="P649" s="86"/>
      <c r="Q649" s="87"/>
      <c r="R649" s="87"/>
      <c r="S649" s="78" t="s">
        <v>40</v>
      </c>
      <c r="T649" s="87"/>
      <c r="U649" s="87"/>
      <c r="V649" s="87"/>
      <c r="W649" s="87"/>
      <c r="X649" s="87"/>
      <c r="Y649" s="78" t="s">
        <v>72</v>
      </c>
      <c r="Z649" s="87"/>
      <c r="AA649" s="87"/>
      <c r="AB649" s="87"/>
      <c r="AC649" s="8"/>
    </row>
    <row r="650" spans="1:29" ht="62" x14ac:dyDescent="0.35">
      <c r="A650" s="83" t="s">
        <v>848</v>
      </c>
      <c r="B650" s="83" t="s">
        <v>849</v>
      </c>
      <c r="C650" s="84" t="s">
        <v>910</v>
      </c>
      <c r="D650" s="84"/>
      <c r="E650" s="98" t="s">
        <v>72</v>
      </c>
      <c r="F650" s="84"/>
      <c r="G650" s="84"/>
      <c r="H650" s="83" t="s">
        <v>911</v>
      </c>
      <c r="I650" s="84" t="s">
        <v>851</v>
      </c>
      <c r="J650" s="88" t="s">
        <v>105</v>
      </c>
      <c r="K650" s="83" t="s">
        <v>43</v>
      </c>
      <c r="L650" s="83"/>
      <c r="M650" s="83" t="s">
        <v>44</v>
      </c>
      <c r="N650" s="86">
        <v>186.12</v>
      </c>
      <c r="O650" s="86">
        <v>390</v>
      </c>
      <c r="P650" s="86"/>
      <c r="Q650" s="87"/>
      <c r="R650" s="87"/>
      <c r="S650" s="87"/>
      <c r="T650" s="87"/>
      <c r="U650" s="78" t="s">
        <v>72</v>
      </c>
      <c r="V650" s="87"/>
      <c r="W650" s="87"/>
      <c r="X650" s="87"/>
      <c r="Y650" s="87"/>
      <c r="Z650" s="87"/>
      <c r="AA650" s="87"/>
      <c r="AB650" s="87"/>
      <c r="AC650" s="8"/>
    </row>
    <row r="651" spans="1:29" ht="62" x14ac:dyDescent="0.35">
      <c r="A651" s="83" t="s">
        <v>848</v>
      </c>
      <c r="B651" s="83" t="s">
        <v>849</v>
      </c>
      <c r="C651" s="84" t="s">
        <v>912</v>
      </c>
      <c r="D651" s="92" t="s">
        <v>72</v>
      </c>
      <c r="E651" s="84"/>
      <c r="F651" s="84"/>
      <c r="G651" s="84"/>
      <c r="H651" s="83" t="s">
        <v>913</v>
      </c>
      <c r="I651" s="84" t="s">
        <v>851</v>
      </c>
      <c r="J651" s="83" t="s">
        <v>43</v>
      </c>
      <c r="K651" s="83" t="s">
        <v>43</v>
      </c>
      <c r="L651" s="88"/>
      <c r="M651" s="83" t="s">
        <v>44</v>
      </c>
      <c r="N651" s="86">
        <v>186.12</v>
      </c>
      <c r="O651" s="86">
        <v>480</v>
      </c>
      <c r="P651" s="86"/>
      <c r="Q651" s="87"/>
      <c r="R651" s="87"/>
      <c r="S651" s="87"/>
      <c r="T651" s="87"/>
      <c r="U651" s="78" t="s">
        <v>72</v>
      </c>
      <c r="V651" s="87"/>
      <c r="W651" s="87"/>
      <c r="X651" s="87"/>
      <c r="Y651" s="87"/>
      <c r="Z651" s="87"/>
      <c r="AA651" s="87"/>
      <c r="AB651" s="87"/>
      <c r="AC651" s="8"/>
    </row>
    <row r="652" spans="1:29" ht="46.5" x14ac:dyDescent="0.35">
      <c r="A652" s="83" t="s">
        <v>134</v>
      </c>
      <c r="B652" s="83" t="s">
        <v>135</v>
      </c>
      <c r="C652" s="84" t="s">
        <v>914</v>
      </c>
      <c r="D652" s="92" t="s">
        <v>64</v>
      </c>
      <c r="E652" s="98" t="s">
        <v>72</v>
      </c>
      <c r="F652" s="84"/>
      <c r="G652" s="98" t="s">
        <v>72</v>
      </c>
      <c r="H652" s="83" t="s">
        <v>133</v>
      </c>
      <c r="I652" s="84" t="s">
        <v>138</v>
      </c>
      <c r="J652" s="88" t="s">
        <v>195</v>
      </c>
      <c r="K652" s="88" t="s">
        <v>75</v>
      </c>
      <c r="L652" s="88"/>
      <c r="M652" s="117"/>
      <c r="N652" s="86">
        <v>650</v>
      </c>
      <c r="O652" s="86">
        <v>470</v>
      </c>
      <c r="P652" s="218"/>
      <c r="Q652" s="216" t="s">
        <v>68</v>
      </c>
      <c r="R652" s="145"/>
      <c r="S652" s="145"/>
      <c r="T652" s="216" t="s">
        <v>68</v>
      </c>
      <c r="U652" s="145"/>
      <c r="V652" s="145"/>
      <c r="W652" s="216" t="s">
        <v>68</v>
      </c>
      <c r="X652" s="145"/>
      <c r="Y652" s="145"/>
      <c r="Z652" s="146" t="s">
        <v>64</v>
      </c>
      <c r="AA652" s="145"/>
      <c r="AB652" s="145"/>
      <c r="AC652" s="51" t="s">
        <v>915</v>
      </c>
    </row>
    <row r="653" spans="1:29" ht="62" x14ac:dyDescent="0.35">
      <c r="A653" s="83" t="s">
        <v>848</v>
      </c>
      <c r="B653" s="83" t="s">
        <v>849</v>
      </c>
      <c r="C653" s="84" t="s">
        <v>912</v>
      </c>
      <c r="D653" s="92" t="s">
        <v>99</v>
      </c>
      <c r="E653" s="84"/>
      <c r="F653" s="84"/>
      <c r="G653" s="84"/>
      <c r="H653" s="83" t="s">
        <v>913</v>
      </c>
      <c r="I653" s="84" t="s">
        <v>851</v>
      </c>
      <c r="J653" s="83" t="s">
        <v>74</v>
      </c>
      <c r="K653" s="83" t="s">
        <v>75</v>
      </c>
      <c r="L653" s="88" t="s">
        <v>66</v>
      </c>
      <c r="M653" s="72" t="s">
        <v>67</v>
      </c>
      <c r="N653" s="86">
        <v>0</v>
      </c>
      <c r="O653" s="86">
        <v>0</v>
      </c>
      <c r="P653" s="86"/>
      <c r="Q653" s="93" t="s">
        <v>100</v>
      </c>
      <c r="R653" s="93" t="s">
        <v>100</v>
      </c>
      <c r="S653" s="93" t="s">
        <v>100</v>
      </c>
      <c r="T653" s="93" t="s">
        <v>100</v>
      </c>
      <c r="U653" s="93" t="s">
        <v>100</v>
      </c>
      <c r="V653" s="93" t="s">
        <v>100</v>
      </c>
      <c r="W653" s="93" t="s">
        <v>100</v>
      </c>
      <c r="X653" s="93" t="s">
        <v>100</v>
      </c>
      <c r="Y653" s="93" t="s">
        <v>100</v>
      </c>
      <c r="Z653" s="97" t="s">
        <v>99</v>
      </c>
      <c r="AA653" s="93" t="s">
        <v>100</v>
      </c>
      <c r="AB653" s="93" t="s">
        <v>100</v>
      </c>
      <c r="AC653" s="8"/>
    </row>
    <row r="654" spans="1:29" ht="62" x14ac:dyDescent="0.35">
      <c r="A654" s="83" t="s">
        <v>848</v>
      </c>
      <c r="B654" s="83" t="s">
        <v>849</v>
      </c>
      <c r="C654" s="84" t="s">
        <v>916</v>
      </c>
      <c r="D654" s="84"/>
      <c r="E654" s="98" t="s">
        <v>200</v>
      </c>
      <c r="F654" s="84"/>
      <c r="G654" s="98" t="s">
        <v>200</v>
      </c>
      <c r="H654" s="83" t="s">
        <v>917</v>
      </c>
      <c r="I654" s="84" t="s">
        <v>851</v>
      </c>
      <c r="J654" s="83" t="s">
        <v>43</v>
      </c>
      <c r="K654" s="83" t="s">
        <v>43</v>
      </c>
      <c r="L654" s="88"/>
      <c r="M654" s="83" t="s">
        <v>44</v>
      </c>
      <c r="N654" s="86">
        <v>686.12</v>
      </c>
      <c r="O654" s="86">
        <v>1200</v>
      </c>
      <c r="P654" s="86"/>
      <c r="Q654" s="114"/>
      <c r="R654" s="114"/>
      <c r="S654" s="114"/>
      <c r="T654" s="114"/>
      <c r="U654" s="93" t="s">
        <v>86</v>
      </c>
      <c r="V654" s="114"/>
      <c r="W654" s="114"/>
      <c r="X654" s="114"/>
      <c r="Y654" s="114"/>
      <c r="Z654" s="114"/>
      <c r="AA654" s="114"/>
      <c r="AB654" s="114"/>
      <c r="AC654" s="8"/>
    </row>
    <row r="655" spans="1:29" ht="62" x14ac:dyDescent="0.35">
      <c r="A655" s="83" t="s">
        <v>848</v>
      </c>
      <c r="B655" s="83" t="s">
        <v>849</v>
      </c>
      <c r="C655" s="84" t="s">
        <v>916</v>
      </c>
      <c r="D655" s="84"/>
      <c r="E655" s="98" t="s">
        <v>99</v>
      </c>
      <c r="F655" s="84"/>
      <c r="G655" s="98" t="s">
        <v>99</v>
      </c>
      <c r="H655" s="83" t="s">
        <v>917</v>
      </c>
      <c r="I655" s="84" t="s">
        <v>851</v>
      </c>
      <c r="J655" s="83" t="s">
        <v>74</v>
      </c>
      <c r="K655" s="83" t="s">
        <v>75</v>
      </c>
      <c r="L655" s="88" t="s">
        <v>66</v>
      </c>
      <c r="M655" s="72" t="s">
        <v>67</v>
      </c>
      <c r="N655" s="86">
        <v>0</v>
      </c>
      <c r="O655" s="86">
        <v>0</v>
      </c>
      <c r="P655" s="86"/>
      <c r="Q655" s="93" t="s">
        <v>100</v>
      </c>
      <c r="R655" s="93" t="s">
        <v>100</v>
      </c>
      <c r="S655" s="93" t="s">
        <v>100</v>
      </c>
      <c r="T655" s="93" t="s">
        <v>100</v>
      </c>
      <c r="U655" s="93" t="s">
        <v>100</v>
      </c>
      <c r="V655" s="93" t="s">
        <v>100</v>
      </c>
      <c r="W655" s="93" t="s">
        <v>100</v>
      </c>
      <c r="X655" s="93" t="s">
        <v>100</v>
      </c>
      <c r="Y655" s="93" t="s">
        <v>100</v>
      </c>
      <c r="Z655" s="93" t="s">
        <v>100</v>
      </c>
      <c r="AA655" s="93" t="s">
        <v>100</v>
      </c>
      <c r="AB655" s="93" t="s">
        <v>100</v>
      </c>
      <c r="AC655" s="8"/>
    </row>
    <row r="656" spans="1:29" ht="62" x14ac:dyDescent="0.35">
      <c r="A656" s="83" t="s">
        <v>848</v>
      </c>
      <c r="B656" s="83" t="s">
        <v>849</v>
      </c>
      <c r="C656" s="84" t="s">
        <v>918</v>
      </c>
      <c r="D656" s="92" t="s">
        <v>72</v>
      </c>
      <c r="E656" s="84"/>
      <c r="F656" s="84"/>
      <c r="G656" s="84"/>
      <c r="H656" s="83" t="s">
        <v>919</v>
      </c>
      <c r="I656" s="84" t="s">
        <v>851</v>
      </c>
      <c r="J656" s="83" t="s">
        <v>43</v>
      </c>
      <c r="K656" s="83" t="s">
        <v>43</v>
      </c>
      <c r="L656" s="83"/>
      <c r="M656" s="83" t="s">
        <v>44</v>
      </c>
      <c r="N656" s="86">
        <v>682.13</v>
      </c>
      <c r="O656" s="86">
        <v>480</v>
      </c>
      <c r="P656" s="86"/>
      <c r="Q656" s="87"/>
      <c r="R656" s="87"/>
      <c r="S656" s="87"/>
      <c r="T656" s="78" t="s">
        <v>72</v>
      </c>
      <c r="U656" s="87"/>
      <c r="V656" s="87"/>
      <c r="W656" s="87"/>
      <c r="X656" s="87"/>
      <c r="Y656" s="87"/>
      <c r="Z656" s="87"/>
      <c r="AA656" s="87"/>
      <c r="AB656" s="87"/>
      <c r="AC656" s="8"/>
    </row>
    <row r="657" spans="1:29" ht="62" x14ac:dyDescent="0.35">
      <c r="A657" s="83" t="s">
        <v>848</v>
      </c>
      <c r="B657" s="83" t="s">
        <v>849</v>
      </c>
      <c r="C657" s="84" t="s">
        <v>920</v>
      </c>
      <c r="D657" s="92" t="s">
        <v>72</v>
      </c>
      <c r="E657" s="84"/>
      <c r="F657" s="84"/>
      <c r="G657" s="84"/>
      <c r="H657" s="83" t="s">
        <v>921</v>
      </c>
      <c r="I657" s="84" t="s">
        <v>851</v>
      </c>
      <c r="J657" s="83" t="s">
        <v>43</v>
      </c>
      <c r="K657" s="83" t="s">
        <v>43</v>
      </c>
      <c r="L657" s="83"/>
      <c r="M657" s="83" t="s">
        <v>44</v>
      </c>
      <c r="N657" s="86" t="s">
        <v>922</v>
      </c>
      <c r="O657" s="86" t="s">
        <v>922</v>
      </c>
      <c r="P657" s="86"/>
      <c r="Q657" s="87"/>
      <c r="R657" s="87"/>
      <c r="S657" s="87"/>
      <c r="T657" s="78" t="s">
        <v>72</v>
      </c>
      <c r="U657" s="87"/>
      <c r="V657" s="87"/>
      <c r="W657" s="87"/>
      <c r="X657" s="87"/>
      <c r="Y657" s="87"/>
      <c r="Z657" s="87"/>
      <c r="AA657" s="87"/>
      <c r="AB657" s="87"/>
      <c r="AC657" s="8"/>
    </row>
    <row r="658" spans="1:29" ht="62" x14ac:dyDescent="0.35">
      <c r="A658" s="83" t="s">
        <v>848</v>
      </c>
      <c r="B658" s="83" t="s">
        <v>849</v>
      </c>
      <c r="C658" s="84" t="s">
        <v>920</v>
      </c>
      <c r="D658" s="92" t="s">
        <v>72</v>
      </c>
      <c r="E658" s="84"/>
      <c r="F658" s="84"/>
      <c r="G658" s="84"/>
      <c r="H658" s="83" t="s">
        <v>923</v>
      </c>
      <c r="I658" s="84" t="s">
        <v>851</v>
      </c>
      <c r="J658" s="83" t="s">
        <v>43</v>
      </c>
      <c r="K658" s="83" t="s">
        <v>43</v>
      </c>
      <c r="L658" s="83"/>
      <c r="M658" s="83"/>
      <c r="N658" s="86"/>
      <c r="O658" s="86"/>
      <c r="P658" s="86"/>
      <c r="Q658" s="87"/>
      <c r="R658" s="87"/>
      <c r="S658" s="87"/>
      <c r="T658" s="93" t="s">
        <v>86</v>
      </c>
      <c r="U658" s="87"/>
      <c r="V658" s="87"/>
      <c r="W658" s="87"/>
      <c r="X658" s="87"/>
      <c r="Y658" s="87"/>
      <c r="Z658" s="87"/>
      <c r="AA658" s="87"/>
      <c r="AB658" s="87"/>
      <c r="AC658" s="8"/>
    </row>
    <row r="659" spans="1:29" ht="62" x14ac:dyDescent="0.35">
      <c r="A659" s="83" t="s">
        <v>848</v>
      </c>
      <c r="B659" s="83" t="s">
        <v>849</v>
      </c>
      <c r="C659" s="84" t="s">
        <v>924</v>
      </c>
      <c r="D659" s="92" t="s">
        <v>99</v>
      </c>
      <c r="E659" s="98" t="s">
        <v>72</v>
      </c>
      <c r="F659" s="84"/>
      <c r="G659" s="84"/>
      <c r="H659" s="83" t="s">
        <v>925</v>
      </c>
      <c r="I659" s="84" t="s">
        <v>851</v>
      </c>
      <c r="J659" s="83" t="s">
        <v>43</v>
      </c>
      <c r="K659" s="83" t="s">
        <v>43</v>
      </c>
      <c r="L659" s="88"/>
      <c r="M659" s="83" t="s">
        <v>44</v>
      </c>
      <c r="N659" s="86">
        <v>372.24</v>
      </c>
      <c r="O659" s="86">
        <v>480</v>
      </c>
      <c r="P659" s="86"/>
      <c r="Q659" s="87"/>
      <c r="R659" s="87"/>
      <c r="S659" s="87"/>
      <c r="T659" s="93" t="s">
        <v>86</v>
      </c>
      <c r="U659" s="87"/>
      <c r="V659" s="87"/>
      <c r="W659" s="87"/>
      <c r="X659" s="87"/>
      <c r="Y659" s="87"/>
      <c r="Z659" s="87"/>
      <c r="AA659" s="87"/>
      <c r="AB659" s="87"/>
      <c r="AC659" s="8"/>
    </row>
    <row r="660" spans="1:29" ht="62" x14ac:dyDescent="0.35">
      <c r="A660" s="83" t="s">
        <v>848</v>
      </c>
      <c r="B660" s="83" t="s">
        <v>849</v>
      </c>
      <c r="C660" s="84" t="s">
        <v>924</v>
      </c>
      <c r="D660" s="92" t="s">
        <v>99</v>
      </c>
      <c r="E660" s="98" t="s">
        <v>72</v>
      </c>
      <c r="F660" s="84"/>
      <c r="G660" s="84"/>
      <c r="H660" s="83" t="s">
        <v>925</v>
      </c>
      <c r="I660" s="84" t="s">
        <v>851</v>
      </c>
      <c r="J660" s="88" t="s">
        <v>74</v>
      </c>
      <c r="K660" s="83" t="s">
        <v>75</v>
      </c>
      <c r="L660" s="88" t="s">
        <v>66</v>
      </c>
      <c r="M660" s="72" t="s">
        <v>67</v>
      </c>
      <c r="N660" s="86">
        <v>0</v>
      </c>
      <c r="O660" s="86">
        <v>0</v>
      </c>
      <c r="P660" s="86"/>
      <c r="Q660" s="93" t="s">
        <v>100</v>
      </c>
      <c r="R660" s="93" t="s">
        <v>100</v>
      </c>
      <c r="S660" s="93" t="s">
        <v>100</v>
      </c>
      <c r="T660" s="93" t="s">
        <v>100</v>
      </c>
      <c r="U660" s="93" t="s">
        <v>100</v>
      </c>
      <c r="V660" s="93" t="s">
        <v>100</v>
      </c>
      <c r="W660" s="93" t="s">
        <v>100</v>
      </c>
      <c r="X660" s="97" t="s">
        <v>99</v>
      </c>
      <c r="Y660" s="93" t="s">
        <v>100</v>
      </c>
      <c r="Z660" s="93" t="s">
        <v>100</v>
      </c>
      <c r="AA660" s="93" t="s">
        <v>100</v>
      </c>
      <c r="AB660" s="93" t="s">
        <v>100</v>
      </c>
      <c r="AC660" s="8"/>
    </row>
    <row r="661" spans="1:29" ht="62" x14ac:dyDescent="0.35">
      <c r="A661" s="83" t="s">
        <v>848</v>
      </c>
      <c r="B661" s="83" t="s">
        <v>849</v>
      </c>
      <c r="C661" s="84" t="s">
        <v>926</v>
      </c>
      <c r="D661" s="84"/>
      <c r="E661" s="98" t="s">
        <v>72</v>
      </c>
      <c r="F661" s="84"/>
      <c r="G661" s="98" t="s">
        <v>72</v>
      </c>
      <c r="H661" s="83" t="s">
        <v>927</v>
      </c>
      <c r="I661" s="84" t="s">
        <v>851</v>
      </c>
      <c r="J661" s="88" t="s">
        <v>105</v>
      </c>
      <c r="K661" s="83" t="s">
        <v>43</v>
      </c>
      <c r="L661" s="83"/>
      <c r="M661" s="83" t="s">
        <v>44</v>
      </c>
      <c r="N661" s="86">
        <v>136.5</v>
      </c>
      <c r="O661" s="86" t="s">
        <v>928</v>
      </c>
      <c r="P661" s="86"/>
      <c r="Q661" s="87"/>
      <c r="R661" s="87"/>
      <c r="S661" s="87"/>
      <c r="T661" s="87"/>
      <c r="U661" s="93" t="s">
        <v>86</v>
      </c>
      <c r="V661" s="87"/>
      <c r="W661" s="87"/>
      <c r="X661" s="87"/>
      <c r="Y661" s="87"/>
      <c r="Z661" s="87"/>
      <c r="AA661" s="87"/>
      <c r="AB661" s="87"/>
      <c r="AC661" s="8"/>
    </row>
    <row r="662" spans="1:29" ht="62" x14ac:dyDescent="0.35">
      <c r="A662" s="83" t="s">
        <v>848</v>
      </c>
      <c r="B662" s="83" t="s">
        <v>849</v>
      </c>
      <c r="C662" s="84" t="s">
        <v>929</v>
      </c>
      <c r="D662" s="84"/>
      <c r="E662" s="98" t="s">
        <v>72</v>
      </c>
      <c r="F662" s="84"/>
      <c r="G662" s="98" t="s">
        <v>72</v>
      </c>
      <c r="H662" s="83" t="s">
        <v>930</v>
      </c>
      <c r="I662" s="84" t="s">
        <v>851</v>
      </c>
      <c r="J662" s="88" t="s">
        <v>105</v>
      </c>
      <c r="K662" s="83" t="s">
        <v>43</v>
      </c>
      <c r="L662" s="83"/>
      <c r="M662" s="83" t="s">
        <v>44</v>
      </c>
      <c r="N662" s="86" t="s">
        <v>931</v>
      </c>
      <c r="O662" s="86" t="s">
        <v>928</v>
      </c>
      <c r="P662" s="86"/>
      <c r="Q662" s="87"/>
      <c r="R662" s="87"/>
      <c r="S662" s="87"/>
      <c r="T662" s="87"/>
      <c r="U662" s="93" t="s">
        <v>86</v>
      </c>
      <c r="V662" s="87"/>
      <c r="W662" s="87"/>
      <c r="X662" s="87"/>
      <c r="Y662" s="87"/>
      <c r="Z662" s="87"/>
      <c r="AA662" s="87"/>
      <c r="AB662" s="87"/>
      <c r="AC662" s="8"/>
    </row>
    <row r="663" spans="1:29" ht="62" x14ac:dyDescent="0.35">
      <c r="A663" s="83" t="s">
        <v>848</v>
      </c>
      <c r="B663" s="83" t="s">
        <v>849</v>
      </c>
      <c r="C663" s="84" t="s">
        <v>932</v>
      </c>
      <c r="D663" s="92" t="s">
        <v>72</v>
      </c>
      <c r="E663" s="84"/>
      <c r="F663" s="84"/>
      <c r="G663" s="84"/>
      <c r="H663" s="83" t="s">
        <v>933</v>
      </c>
      <c r="I663" s="84" t="s">
        <v>851</v>
      </c>
      <c r="J663" s="83" t="s">
        <v>43</v>
      </c>
      <c r="K663" s="83" t="s">
        <v>43</v>
      </c>
      <c r="L663" s="83"/>
      <c r="M663" s="83" t="s">
        <v>44</v>
      </c>
      <c r="N663" s="86">
        <v>186.12</v>
      </c>
      <c r="O663" s="86">
        <v>480</v>
      </c>
      <c r="P663" s="86"/>
      <c r="Q663" s="87"/>
      <c r="R663" s="87"/>
      <c r="S663" s="87"/>
      <c r="T663" s="87"/>
      <c r="U663" s="78" t="s">
        <v>72</v>
      </c>
      <c r="V663" s="87"/>
      <c r="W663" s="87"/>
      <c r="X663" s="87"/>
      <c r="Y663" s="87"/>
      <c r="Z663" s="87"/>
      <c r="AA663" s="87"/>
      <c r="AB663" s="87"/>
      <c r="AC663" s="8"/>
    </row>
    <row r="664" spans="1:29" ht="62" x14ac:dyDescent="0.35">
      <c r="A664" s="83" t="s">
        <v>848</v>
      </c>
      <c r="B664" s="83" t="s">
        <v>849</v>
      </c>
      <c r="C664" s="84" t="s">
        <v>934</v>
      </c>
      <c r="D664" s="92" t="s">
        <v>72</v>
      </c>
      <c r="E664" s="84"/>
      <c r="F664" s="84"/>
      <c r="G664" s="84"/>
      <c r="H664" s="83" t="s">
        <v>935</v>
      </c>
      <c r="I664" s="84" t="s">
        <v>851</v>
      </c>
      <c r="J664" s="174" t="s">
        <v>67</v>
      </c>
      <c r="K664" s="174" t="s">
        <v>75</v>
      </c>
      <c r="L664" s="174"/>
      <c r="M664" s="175"/>
      <c r="N664" s="175" t="s">
        <v>44</v>
      </c>
      <c r="O664" s="176" t="s">
        <v>44</v>
      </c>
      <c r="P664" s="176"/>
      <c r="Q664" s="87"/>
      <c r="R664" s="87"/>
      <c r="S664" s="87"/>
      <c r="T664" s="87"/>
      <c r="U664" s="87"/>
      <c r="V664" s="78" t="s">
        <v>72</v>
      </c>
      <c r="W664" s="87"/>
      <c r="X664" s="87"/>
      <c r="Y664" s="87"/>
      <c r="Z664" s="87"/>
      <c r="AA664" s="87"/>
      <c r="AB664" s="87"/>
      <c r="AC664" s="8"/>
    </row>
    <row r="665" spans="1:29" ht="62" x14ac:dyDescent="0.35">
      <c r="A665" s="83" t="s">
        <v>848</v>
      </c>
      <c r="B665" s="83" t="s">
        <v>849</v>
      </c>
      <c r="C665" s="84" t="s">
        <v>936</v>
      </c>
      <c r="D665" s="84"/>
      <c r="E665" s="98" t="s">
        <v>72</v>
      </c>
      <c r="F665" s="84"/>
      <c r="G665" s="84"/>
      <c r="H665" s="83" t="s">
        <v>937</v>
      </c>
      <c r="I665" s="84" t="s">
        <v>851</v>
      </c>
      <c r="J665" s="83" t="s">
        <v>600</v>
      </c>
      <c r="K665" s="83" t="s">
        <v>75</v>
      </c>
      <c r="L665" s="83"/>
      <c r="M665" s="83"/>
      <c r="N665" s="86">
        <v>849.72</v>
      </c>
      <c r="O665" s="86">
        <v>849.72</v>
      </c>
      <c r="P665" s="86"/>
      <c r="Q665" s="87"/>
      <c r="R665" s="87"/>
      <c r="S665" s="93" t="s">
        <v>86</v>
      </c>
      <c r="T665" s="87"/>
      <c r="U665" s="87"/>
      <c r="V665" s="87"/>
      <c r="W665" s="87"/>
      <c r="X665" s="87"/>
      <c r="Y665" s="87"/>
      <c r="Z665" s="87"/>
      <c r="AA665" s="87"/>
      <c r="AB665" s="87"/>
      <c r="AC665" s="8"/>
    </row>
    <row r="666" spans="1:29" ht="62" x14ac:dyDescent="0.35">
      <c r="A666" s="83" t="s">
        <v>848</v>
      </c>
      <c r="B666" s="83" t="s">
        <v>849</v>
      </c>
      <c r="C666" s="84" t="s">
        <v>938</v>
      </c>
      <c r="D666" s="92" t="s">
        <v>72</v>
      </c>
      <c r="E666" s="84"/>
      <c r="F666" s="84"/>
      <c r="G666" s="84"/>
      <c r="H666" s="83" t="s">
        <v>939</v>
      </c>
      <c r="I666" s="84" t="s">
        <v>851</v>
      </c>
      <c r="J666" s="83" t="s">
        <v>43</v>
      </c>
      <c r="K666" s="83" t="s">
        <v>43</v>
      </c>
      <c r="L666" s="83"/>
      <c r="M666" s="83" t="s">
        <v>44</v>
      </c>
      <c r="N666" s="86">
        <v>886.12</v>
      </c>
      <c r="O666" s="86">
        <v>480</v>
      </c>
      <c r="P666" s="86"/>
      <c r="Q666" s="87"/>
      <c r="R666" s="87"/>
      <c r="S666" s="87"/>
      <c r="T666" s="93" t="s">
        <v>86</v>
      </c>
      <c r="U666" s="87"/>
      <c r="V666" s="87"/>
      <c r="W666" s="87"/>
      <c r="X666" s="87"/>
      <c r="Y666" s="87"/>
      <c r="Z666" s="87"/>
      <c r="AA666" s="87"/>
      <c r="AB666" s="87"/>
      <c r="AC666" s="8"/>
    </row>
    <row r="667" spans="1:29" ht="62" x14ac:dyDescent="0.35">
      <c r="A667" s="83" t="s">
        <v>848</v>
      </c>
      <c r="B667" s="83" t="s">
        <v>849</v>
      </c>
      <c r="C667" s="84" t="s">
        <v>940</v>
      </c>
      <c r="D667" s="84"/>
      <c r="E667" s="98" t="s">
        <v>941</v>
      </c>
      <c r="F667" s="84"/>
      <c r="G667" s="84"/>
      <c r="H667" s="83" t="s">
        <v>942</v>
      </c>
      <c r="I667" s="84" t="s">
        <v>851</v>
      </c>
      <c r="J667" s="83" t="s">
        <v>43</v>
      </c>
      <c r="K667" s="83" t="s">
        <v>43</v>
      </c>
      <c r="L667" s="83"/>
      <c r="M667" s="83" t="s">
        <v>44</v>
      </c>
      <c r="N667" s="86">
        <v>930.6</v>
      </c>
      <c r="O667" s="86" t="s">
        <v>943</v>
      </c>
      <c r="P667" s="86"/>
      <c r="Q667" s="87"/>
      <c r="R667" s="87"/>
      <c r="S667" s="93" t="s">
        <v>68</v>
      </c>
      <c r="T667" s="87"/>
      <c r="U667" s="87"/>
      <c r="V667" s="93" t="s">
        <v>86</v>
      </c>
      <c r="W667" s="87"/>
      <c r="X667" s="87"/>
      <c r="Y667" s="78" t="s">
        <v>64</v>
      </c>
      <c r="Z667" s="87"/>
      <c r="AA667" s="87"/>
      <c r="AB667" s="93" t="s">
        <v>68</v>
      </c>
      <c r="AC667" s="8"/>
    </row>
    <row r="668" spans="1:29" ht="62" x14ac:dyDescent="0.35">
      <c r="A668" s="83" t="s">
        <v>848</v>
      </c>
      <c r="B668" s="83" t="s">
        <v>849</v>
      </c>
      <c r="C668" s="84" t="s">
        <v>944</v>
      </c>
      <c r="D668" s="84"/>
      <c r="E668" s="98" t="s">
        <v>207</v>
      </c>
      <c r="F668" s="84"/>
      <c r="G668" s="98" t="s">
        <v>72</v>
      </c>
      <c r="H668" s="83" t="s">
        <v>945</v>
      </c>
      <c r="I668" s="84" t="s">
        <v>851</v>
      </c>
      <c r="J668" s="83" t="s">
        <v>94</v>
      </c>
      <c r="K668" s="83" t="s">
        <v>75</v>
      </c>
      <c r="L668" s="88" t="s">
        <v>66</v>
      </c>
      <c r="M668" s="72" t="s">
        <v>67</v>
      </c>
      <c r="N668" s="86">
        <v>1441.26</v>
      </c>
      <c r="O668" s="86">
        <v>0</v>
      </c>
      <c r="P668" s="86"/>
      <c r="Q668" s="141"/>
      <c r="R668" s="141"/>
      <c r="S668" s="222" t="s">
        <v>68</v>
      </c>
      <c r="T668" s="141"/>
      <c r="U668" s="141"/>
      <c r="V668" s="142" t="s">
        <v>72</v>
      </c>
      <c r="W668" s="141"/>
      <c r="X668" s="141"/>
      <c r="Y668" s="191" t="s">
        <v>68</v>
      </c>
      <c r="Z668" s="141"/>
      <c r="AA668" s="141"/>
      <c r="AB668" s="142" t="s">
        <v>64</v>
      </c>
      <c r="AC668" s="8"/>
    </row>
    <row r="669" spans="1:29" ht="62" x14ac:dyDescent="0.35">
      <c r="A669" s="83" t="s">
        <v>848</v>
      </c>
      <c r="B669" s="83" t="s">
        <v>849</v>
      </c>
      <c r="C669" s="84" t="s">
        <v>946</v>
      </c>
      <c r="D669" s="84"/>
      <c r="E669" s="98" t="s">
        <v>72</v>
      </c>
      <c r="F669" s="84"/>
      <c r="G669" s="98" t="s">
        <v>72</v>
      </c>
      <c r="H669" s="83" t="s">
        <v>947</v>
      </c>
      <c r="I669" s="84" t="s">
        <v>851</v>
      </c>
      <c r="J669" s="83" t="s">
        <v>195</v>
      </c>
      <c r="K669" s="83" t="s">
        <v>75</v>
      </c>
      <c r="L669" s="83"/>
      <c r="M669" s="83"/>
      <c r="N669" s="86">
        <v>641.59</v>
      </c>
      <c r="O669" s="86">
        <v>470</v>
      </c>
      <c r="P669" s="218"/>
      <c r="Q669" s="145"/>
      <c r="R669" s="145"/>
      <c r="S669" s="145"/>
      <c r="T669" s="145"/>
      <c r="U669" s="145"/>
      <c r="V669" s="145"/>
      <c r="W669" s="216" t="s">
        <v>86</v>
      </c>
      <c r="X669" s="145"/>
      <c r="Y669" s="145"/>
      <c r="Z669" s="145"/>
      <c r="AA669" s="145"/>
      <c r="AB669" s="145"/>
      <c r="AC669" s="51"/>
    </row>
    <row r="670" spans="1:29" ht="62" x14ac:dyDescent="0.35">
      <c r="A670" s="83" t="s">
        <v>848</v>
      </c>
      <c r="B670" s="83" t="s">
        <v>849</v>
      </c>
      <c r="C670" s="84" t="s">
        <v>948</v>
      </c>
      <c r="D670" s="84"/>
      <c r="E670" s="98" t="s">
        <v>72</v>
      </c>
      <c r="F670" s="84"/>
      <c r="G670" s="84"/>
      <c r="H670" s="83" t="s">
        <v>949</v>
      </c>
      <c r="I670" s="84" t="s">
        <v>851</v>
      </c>
      <c r="J670" s="83" t="s">
        <v>94</v>
      </c>
      <c r="K670" s="83" t="s">
        <v>75</v>
      </c>
      <c r="L670" s="88" t="s">
        <v>66</v>
      </c>
      <c r="M670" s="72" t="s">
        <v>67</v>
      </c>
      <c r="N670" s="86">
        <v>982.13</v>
      </c>
      <c r="O670" s="86">
        <v>0</v>
      </c>
      <c r="P670" s="86"/>
      <c r="Q670" s="110"/>
      <c r="R670" s="110"/>
      <c r="S670" s="110"/>
      <c r="T670" s="110"/>
      <c r="U670" s="110"/>
      <c r="V670" s="205" t="s">
        <v>86</v>
      </c>
      <c r="W670" s="110"/>
      <c r="X670" s="110"/>
      <c r="Y670" s="110"/>
      <c r="Z670" s="110"/>
      <c r="AA670" s="110"/>
      <c r="AB670" s="110"/>
      <c r="AC670" s="8"/>
    </row>
    <row r="671" spans="1:29" ht="62" x14ac:dyDescent="0.35">
      <c r="A671" s="83" t="s">
        <v>848</v>
      </c>
      <c r="B671" s="83" t="s">
        <v>849</v>
      </c>
      <c r="C671" s="84" t="s">
        <v>950</v>
      </c>
      <c r="D671" s="92" t="s">
        <v>941</v>
      </c>
      <c r="E671" s="84"/>
      <c r="F671" s="84"/>
      <c r="G671" s="84"/>
      <c r="H671" s="83" t="s">
        <v>951</v>
      </c>
      <c r="I671" s="84" t="s">
        <v>851</v>
      </c>
      <c r="J671" s="83" t="s">
        <v>105</v>
      </c>
      <c r="K671" s="83" t="s">
        <v>43</v>
      </c>
      <c r="L671" s="83"/>
      <c r="M671" s="83" t="s">
        <v>44</v>
      </c>
      <c r="N671" s="86">
        <v>930.6</v>
      </c>
      <c r="O671" s="86">
        <v>634</v>
      </c>
      <c r="P671" s="86"/>
      <c r="Q671" s="209" t="s">
        <v>68</v>
      </c>
      <c r="R671" s="87"/>
      <c r="S671" s="87"/>
      <c r="T671" s="78" t="s">
        <v>64</v>
      </c>
      <c r="U671" s="87"/>
      <c r="V671" s="87"/>
      <c r="W671" s="93" t="s">
        <v>68</v>
      </c>
      <c r="X671" s="87"/>
      <c r="Y671" s="87"/>
      <c r="Z671" s="93" t="s">
        <v>86</v>
      </c>
      <c r="AA671" s="87"/>
      <c r="AB671" s="87"/>
      <c r="AC671" s="8"/>
    </row>
    <row r="672" spans="1:29" ht="62" x14ac:dyDescent="0.35">
      <c r="A672" s="83" t="s">
        <v>848</v>
      </c>
      <c r="B672" s="83" t="s">
        <v>849</v>
      </c>
      <c r="C672" s="84" t="s">
        <v>952</v>
      </c>
      <c r="D672" s="92" t="s">
        <v>72</v>
      </c>
      <c r="E672" s="84"/>
      <c r="F672" s="84"/>
      <c r="G672" s="84"/>
      <c r="H672" s="83" t="s">
        <v>953</v>
      </c>
      <c r="I672" s="84" t="s">
        <v>851</v>
      </c>
      <c r="J672" s="83" t="s">
        <v>43</v>
      </c>
      <c r="K672" s="83" t="s">
        <v>43</v>
      </c>
      <c r="L672" s="83"/>
      <c r="M672" s="83" t="s">
        <v>44</v>
      </c>
      <c r="N672" s="86">
        <v>372.24</v>
      </c>
      <c r="O672" s="176" t="s">
        <v>44</v>
      </c>
      <c r="P672" s="176"/>
      <c r="Q672" s="141"/>
      <c r="R672" s="141"/>
      <c r="S672" s="141"/>
      <c r="T672" s="141"/>
      <c r="U672" s="141"/>
      <c r="V672" s="141"/>
      <c r="W672" s="141"/>
      <c r="X672" s="141"/>
      <c r="Y672" s="141"/>
      <c r="Z672" s="142" t="s">
        <v>72</v>
      </c>
      <c r="AA672" s="141"/>
      <c r="AB672" s="141"/>
      <c r="AC672" s="8"/>
    </row>
    <row r="673" spans="1:29" ht="62" x14ac:dyDescent="0.35">
      <c r="A673" s="83" t="s">
        <v>848</v>
      </c>
      <c r="B673" s="83" t="s">
        <v>849</v>
      </c>
      <c r="C673" s="84" t="s">
        <v>954</v>
      </c>
      <c r="D673" s="92" t="s">
        <v>72</v>
      </c>
      <c r="E673" s="84"/>
      <c r="F673" s="84"/>
      <c r="G673" s="84"/>
      <c r="H673" s="83" t="s">
        <v>91</v>
      </c>
      <c r="I673" s="84" t="s">
        <v>851</v>
      </c>
      <c r="J673" s="83" t="s">
        <v>195</v>
      </c>
      <c r="K673" s="83" t="s">
        <v>75</v>
      </c>
      <c r="L673" s="83"/>
      <c r="M673" s="83"/>
      <c r="N673" s="86">
        <v>780</v>
      </c>
      <c r="O673" s="120">
        <v>80</v>
      </c>
      <c r="P673" s="220"/>
      <c r="Q673" s="265" t="s">
        <v>86</v>
      </c>
      <c r="R673" s="145"/>
      <c r="S673" s="145"/>
      <c r="T673" s="145"/>
      <c r="U673" s="145"/>
      <c r="V673" s="145"/>
      <c r="W673" s="145"/>
      <c r="X673" s="145"/>
      <c r="Y673" s="145"/>
      <c r="Z673" s="145"/>
      <c r="AA673" s="145"/>
      <c r="AB673" s="145"/>
      <c r="AC673" s="51"/>
    </row>
    <row r="674" spans="1:29" ht="77.5" x14ac:dyDescent="0.35">
      <c r="A674" s="83" t="s">
        <v>848</v>
      </c>
      <c r="B674" s="83" t="s">
        <v>849</v>
      </c>
      <c r="C674" s="84" t="s">
        <v>955</v>
      </c>
      <c r="D674" s="92" t="s">
        <v>40</v>
      </c>
      <c r="E674" s="84"/>
      <c r="F674" s="84"/>
      <c r="G674" s="84"/>
      <c r="H674" s="83" t="s">
        <v>956</v>
      </c>
      <c r="I674" s="84" t="s">
        <v>129</v>
      </c>
      <c r="J674" s="83" t="s">
        <v>130</v>
      </c>
      <c r="K674" s="83" t="s">
        <v>75</v>
      </c>
      <c r="L674" s="83"/>
      <c r="M674" s="102" t="s">
        <v>131</v>
      </c>
      <c r="N674" s="103" t="s">
        <v>132</v>
      </c>
      <c r="O674" s="103" t="s">
        <v>132</v>
      </c>
      <c r="P674" s="103"/>
      <c r="Q674" s="110"/>
      <c r="R674" s="191" t="s">
        <v>45</v>
      </c>
      <c r="S674" s="110"/>
      <c r="T674" s="110"/>
      <c r="U674" s="110"/>
      <c r="V674" s="110"/>
      <c r="W674" s="110"/>
      <c r="X674" s="205" t="s">
        <v>45</v>
      </c>
      <c r="Y674" s="110"/>
      <c r="Z674" s="110"/>
      <c r="AA674" s="110"/>
      <c r="AB674" s="110"/>
      <c r="AC674" s="8"/>
    </row>
    <row r="675" spans="1:29" ht="62" x14ac:dyDescent="0.35">
      <c r="A675" s="83" t="s">
        <v>848</v>
      </c>
      <c r="B675" s="83" t="s">
        <v>849</v>
      </c>
      <c r="C675" s="84" t="s">
        <v>924</v>
      </c>
      <c r="D675" s="92" t="s">
        <v>99</v>
      </c>
      <c r="E675" s="98" t="s">
        <v>72</v>
      </c>
      <c r="F675" s="84"/>
      <c r="G675" s="84"/>
      <c r="H675" s="83" t="s">
        <v>583</v>
      </c>
      <c r="I675" s="84" t="s">
        <v>851</v>
      </c>
      <c r="J675" s="88" t="s">
        <v>74</v>
      </c>
      <c r="K675" s="83" t="s">
        <v>75</v>
      </c>
      <c r="L675" s="88" t="s">
        <v>66</v>
      </c>
      <c r="M675" s="72" t="s">
        <v>67</v>
      </c>
      <c r="N675" s="86">
        <v>0</v>
      </c>
      <c r="O675" s="86">
        <v>0</v>
      </c>
      <c r="P675" s="86"/>
      <c r="Q675" s="93" t="s">
        <v>100</v>
      </c>
      <c r="R675" s="93" t="s">
        <v>100</v>
      </c>
      <c r="S675" s="93" t="s">
        <v>100</v>
      </c>
      <c r="T675" s="93" t="s">
        <v>100</v>
      </c>
      <c r="U675" s="93" t="s">
        <v>100</v>
      </c>
      <c r="V675" s="93" t="s">
        <v>100</v>
      </c>
      <c r="W675" s="93" t="s">
        <v>100</v>
      </c>
      <c r="X675" s="93" t="s">
        <v>100</v>
      </c>
      <c r="Y675" s="93" t="s">
        <v>100</v>
      </c>
      <c r="Z675" s="93" t="s">
        <v>100</v>
      </c>
      <c r="AA675" s="93" t="s">
        <v>100</v>
      </c>
      <c r="AB675" s="93" t="s">
        <v>100</v>
      </c>
      <c r="AC675" s="8"/>
    </row>
    <row r="676" spans="1:29" ht="62" x14ac:dyDescent="0.35">
      <c r="A676" s="83" t="s">
        <v>848</v>
      </c>
      <c r="B676" s="83" t="s">
        <v>849</v>
      </c>
      <c r="C676" s="84" t="s">
        <v>957</v>
      </c>
      <c r="D676" s="101" t="s">
        <v>72</v>
      </c>
      <c r="E676" s="84"/>
      <c r="F676" s="84"/>
      <c r="G676" s="84"/>
      <c r="H676" s="83" t="s">
        <v>133</v>
      </c>
      <c r="I676" s="84" t="s">
        <v>851</v>
      </c>
      <c r="J676" s="83" t="s">
        <v>195</v>
      </c>
      <c r="K676" s="107" t="s">
        <v>75</v>
      </c>
      <c r="L676" s="107"/>
      <c r="M676" s="83"/>
      <c r="N676" s="86">
        <v>880.16</v>
      </c>
      <c r="O676" s="111">
        <v>470</v>
      </c>
      <c r="P676" s="171"/>
      <c r="Q676" s="227" t="s">
        <v>86</v>
      </c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10"/>
    </row>
    <row r="677" spans="1:29" x14ac:dyDescent="0.35">
      <c r="A677" s="177"/>
      <c r="B677" s="177"/>
      <c r="C677" s="178"/>
      <c r="D677" s="178"/>
      <c r="E677" s="178"/>
      <c r="F677" s="178"/>
      <c r="G677" s="178"/>
      <c r="H677" s="177" t="s">
        <v>958</v>
      </c>
      <c r="I677" s="178"/>
      <c r="J677" s="177"/>
      <c r="K677" s="177"/>
      <c r="L677" s="177"/>
      <c r="M677" s="177" t="s">
        <v>959</v>
      </c>
      <c r="N677" s="179">
        <f>SUM(N6:N676)</f>
        <v>176520.42999999996</v>
      </c>
      <c r="O677" s="179">
        <f>SUM(O6:O676)</f>
        <v>177109.90999999997</v>
      </c>
      <c r="P677" s="179"/>
      <c r="T677" s="87"/>
    </row>
    <row r="678" spans="1:29" ht="46.5" x14ac:dyDescent="0.35">
      <c r="A678" s="71" t="s">
        <v>218</v>
      </c>
      <c r="B678" s="83" t="s">
        <v>219</v>
      </c>
      <c r="C678" s="84" t="s">
        <v>286</v>
      </c>
      <c r="D678" s="89" t="s">
        <v>719</v>
      </c>
      <c r="E678" s="85" t="s">
        <v>72</v>
      </c>
      <c r="F678" s="84"/>
      <c r="G678" s="85" t="s">
        <v>72</v>
      </c>
      <c r="H678" s="83" t="s">
        <v>720</v>
      </c>
      <c r="I678" s="84" t="s">
        <v>222</v>
      </c>
      <c r="J678" s="83" t="s">
        <v>714</v>
      </c>
      <c r="K678" s="83" t="s">
        <v>43</v>
      </c>
      <c r="L678" s="83"/>
      <c r="M678" s="83" t="s">
        <v>44</v>
      </c>
      <c r="N678" s="86">
        <v>3120</v>
      </c>
      <c r="O678" s="76">
        <v>2300</v>
      </c>
      <c r="P678" s="111"/>
      <c r="Q678" s="87"/>
      <c r="R678" s="93" t="s">
        <v>68</v>
      </c>
      <c r="S678" s="87"/>
      <c r="T678" s="87"/>
      <c r="U678" s="93" t="s">
        <v>86</v>
      </c>
      <c r="V678" s="87"/>
      <c r="W678" s="87"/>
      <c r="X678" s="93" t="s">
        <v>68</v>
      </c>
      <c r="Y678" s="87"/>
      <c r="Z678" s="87"/>
      <c r="AA678" s="78" t="s">
        <v>40</v>
      </c>
      <c r="AB678" s="87"/>
      <c r="AC678" s="8"/>
    </row>
    <row r="679" spans="1:29" ht="46.5" x14ac:dyDescent="0.35">
      <c r="A679" s="83" t="s">
        <v>218</v>
      </c>
      <c r="B679" s="83" t="s">
        <v>622</v>
      </c>
      <c r="C679" s="84" t="s">
        <v>749</v>
      </c>
      <c r="D679" s="92" t="s">
        <v>99</v>
      </c>
      <c r="E679" s="98" t="s">
        <v>72</v>
      </c>
      <c r="F679" s="84"/>
      <c r="G679" s="84"/>
      <c r="H679" s="83" t="s">
        <v>750</v>
      </c>
      <c r="I679" s="84" t="s">
        <v>624</v>
      </c>
      <c r="J679" s="72" t="s">
        <v>223</v>
      </c>
      <c r="K679" s="88" t="s">
        <v>75</v>
      </c>
      <c r="L679" s="88" t="s">
        <v>66</v>
      </c>
      <c r="M679" s="72" t="s">
        <v>67</v>
      </c>
      <c r="N679" s="86">
        <v>0</v>
      </c>
      <c r="O679" s="86">
        <v>0</v>
      </c>
      <c r="P679" s="86"/>
      <c r="Q679" s="209" t="s">
        <v>100</v>
      </c>
      <c r="R679" s="93" t="s">
        <v>100</v>
      </c>
      <c r="S679" s="93" t="s">
        <v>100</v>
      </c>
      <c r="T679" s="93" t="s">
        <v>100</v>
      </c>
      <c r="U679" s="93" t="s">
        <v>100</v>
      </c>
      <c r="V679" s="97" t="s">
        <v>99</v>
      </c>
      <c r="W679" s="97" t="s">
        <v>99</v>
      </c>
      <c r="X679" s="97" t="s">
        <v>99</v>
      </c>
      <c r="Y679" s="97" t="s">
        <v>99</v>
      </c>
      <c r="Z679" s="97" t="s">
        <v>99</v>
      </c>
      <c r="AA679" s="97" t="s">
        <v>99</v>
      </c>
      <c r="AB679" s="97" t="s">
        <v>99</v>
      </c>
      <c r="AC679" s="8"/>
    </row>
    <row r="681" spans="1:29" x14ac:dyDescent="0.35">
      <c r="A681" s="273" t="s">
        <v>960</v>
      </c>
      <c r="B681" s="274"/>
      <c r="C681" s="274"/>
      <c r="D681" s="274"/>
      <c r="E681" s="274"/>
      <c r="F681" s="274"/>
      <c r="G681" s="274"/>
      <c r="H681" s="274"/>
      <c r="I681" s="274"/>
      <c r="J681" s="274"/>
      <c r="K681" s="274"/>
      <c r="L681" s="274"/>
      <c r="M681" s="274"/>
      <c r="N681" s="274"/>
      <c r="O681" s="274"/>
      <c r="P681" s="274"/>
    </row>
    <row r="682" spans="1:29" x14ac:dyDescent="0.35">
      <c r="A682" s="273"/>
      <c r="B682" s="274"/>
      <c r="C682" s="274"/>
      <c r="D682" s="274"/>
      <c r="E682" s="274"/>
      <c r="F682" s="274"/>
      <c r="G682" s="274"/>
      <c r="H682" s="274"/>
      <c r="I682" s="274"/>
      <c r="J682" s="274"/>
      <c r="K682" s="274"/>
      <c r="L682" s="274"/>
      <c r="M682" s="274"/>
      <c r="N682" s="274"/>
      <c r="O682" s="274"/>
      <c r="P682" s="274"/>
    </row>
    <row r="683" spans="1:29" x14ac:dyDescent="0.35">
      <c r="C683" s="195"/>
      <c r="D683" s="195"/>
      <c r="E683" s="195"/>
      <c r="F683" s="195"/>
      <c r="G683" s="195"/>
      <c r="H683" s="122" t="s">
        <v>961</v>
      </c>
    </row>
    <row r="684" spans="1:29" x14ac:dyDescent="0.35">
      <c r="A684" s="182"/>
      <c r="B684" s="182"/>
      <c r="C684" s="182"/>
      <c r="D684" s="182"/>
      <c r="E684" s="182"/>
      <c r="F684" s="182"/>
      <c r="H684" s="122" t="s">
        <v>962</v>
      </c>
    </row>
    <row r="685" spans="1:29" x14ac:dyDescent="0.35">
      <c r="H685" s="122" t="s">
        <v>583</v>
      </c>
    </row>
    <row r="686" spans="1:29" x14ac:dyDescent="0.35">
      <c r="H686" s="122" t="s">
        <v>963</v>
      </c>
    </row>
    <row r="687" spans="1:29" x14ac:dyDescent="0.35">
      <c r="H687" s="122" t="s">
        <v>964</v>
      </c>
    </row>
    <row r="688" spans="1:29" x14ac:dyDescent="0.35">
      <c r="H688" s="122" t="s">
        <v>965</v>
      </c>
    </row>
    <row r="689" spans="8:8" x14ac:dyDescent="0.35">
      <c r="H689" s="122" t="s">
        <v>966</v>
      </c>
    </row>
    <row r="690" spans="8:8" x14ac:dyDescent="0.35">
      <c r="H690" s="122" t="s">
        <v>967</v>
      </c>
    </row>
    <row r="691" spans="8:8" x14ac:dyDescent="0.35">
      <c r="H691" s="122" t="s">
        <v>968</v>
      </c>
    </row>
    <row r="692" spans="8:8" x14ac:dyDescent="0.35">
      <c r="H692" s="122" t="s">
        <v>969</v>
      </c>
    </row>
    <row r="693" spans="8:8" x14ac:dyDescent="0.35">
      <c r="H693" s="122" t="s">
        <v>970</v>
      </c>
    </row>
    <row r="694" spans="8:8" x14ac:dyDescent="0.35">
      <c r="H694" s="122" t="s">
        <v>971</v>
      </c>
    </row>
  </sheetData>
  <sheetProtection sort="0" autoFilter="0"/>
  <protectedRanges>
    <protectedRange sqref="A1:P1048576" name="Range1"/>
    <protectedRange sqref="Q3:AC5" name="Range2"/>
  </protectedRanges>
  <mergeCells count="4">
    <mergeCell ref="C3:E3"/>
    <mergeCell ref="Q3:AB3"/>
    <mergeCell ref="AC3:AC5"/>
    <mergeCell ref="A681:P682"/>
  </mergeCells>
  <hyperlinks>
    <hyperlink ref="U6" r:id="rId1" xr:uid="{E40B0DC0-D2C3-4709-957D-BEEAB9C41F20}"/>
  </hyperlinks>
  <pageMargins left="0.7" right="0.7" top="0.75" bottom="0.75" header="0.3" footer="0.3"/>
  <pageSetup paperSize="9" fitToHeight="0" orientation="landscape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9EE0-2656-46DB-A24D-DD4A86FCF8BF}">
  <dimension ref="A3:AK31"/>
  <sheetViews>
    <sheetView workbookViewId="0">
      <pane xSplit="1" topLeftCell="B1" activePane="topRight" state="frozen"/>
      <selection pane="topRight" activeCell="A42" sqref="A42"/>
    </sheetView>
  </sheetViews>
  <sheetFormatPr defaultColWidth="9.1796875" defaultRowHeight="14.5" x14ac:dyDescent="0.35"/>
  <cols>
    <col min="1" max="1" width="22.453125" style="210" bestFit="1" customWidth="1"/>
    <col min="2" max="2" width="5.81640625" style="211" customWidth="1"/>
    <col min="3" max="3" width="6" style="210" customWidth="1"/>
    <col min="4" max="4" width="6.7265625" style="210" bestFit="1" customWidth="1"/>
    <col min="5" max="5" width="5" style="210" bestFit="1" customWidth="1"/>
    <col min="6" max="6" width="4.81640625" style="210" bestFit="1" customWidth="1"/>
    <col min="7" max="7" width="6.7265625" style="210" bestFit="1" customWidth="1"/>
    <col min="8" max="8" width="5" style="210" bestFit="1" customWidth="1"/>
    <col min="9" max="9" width="4.81640625" style="210" bestFit="1" customWidth="1"/>
    <col min="10" max="10" width="6.7265625" style="210" bestFit="1" customWidth="1"/>
    <col min="11" max="11" width="5" style="210" bestFit="1" customWidth="1"/>
    <col min="12" max="12" width="4.81640625" style="210" bestFit="1" customWidth="1"/>
    <col min="13" max="13" width="6.7265625" style="210" bestFit="1" customWidth="1"/>
    <col min="14" max="14" width="5" style="210" bestFit="1" customWidth="1"/>
    <col min="15" max="15" width="4.81640625" style="210" bestFit="1" customWidth="1"/>
    <col min="16" max="16" width="6.7265625" style="210" customWidth="1"/>
    <col min="17" max="17" width="5" style="210" bestFit="1" customWidth="1"/>
    <col min="18" max="18" width="4.81640625" style="210" bestFit="1" customWidth="1"/>
    <col min="19" max="19" width="6.7265625" style="210" bestFit="1" customWidth="1"/>
    <col min="20" max="20" width="5" style="210" bestFit="1" customWidth="1"/>
    <col min="21" max="21" width="4.81640625" style="210" bestFit="1" customWidth="1"/>
    <col min="22" max="22" width="6.7265625" style="210" bestFit="1" customWidth="1"/>
    <col min="23" max="23" width="5" style="210" bestFit="1" customWidth="1"/>
    <col min="24" max="24" width="4.81640625" style="210" bestFit="1" customWidth="1"/>
    <col min="25" max="25" width="5.81640625" style="210" bestFit="1" customWidth="1"/>
    <col min="26" max="26" width="5" style="210" bestFit="1" customWidth="1"/>
    <col min="27" max="27" width="4.81640625" style="210" bestFit="1" customWidth="1"/>
    <col min="28" max="28" width="6.7265625" style="210" bestFit="1" customWidth="1"/>
    <col min="29" max="29" width="5" style="210" bestFit="1" customWidth="1"/>
    <col min="30" max="30" width="4.81640625" style="210" bestFit="1" customWidth="1"/>
    <col min="31" max="31" width="6.7265625" style="210" bestFit="1" customWidth="1"/>
    <col min="32" max="32" width="5" style="210" bestFit="1" customWidth="1"/>
    <col min="33" max="33" width="4.81640625" style="210" bestFit="1" customWidth="1"/>
    <col min="34" max="34" width="6.7265625" style="210" bestFit="1" customWidth="1"/>
    <col min="35" max="35" width="5" style="210" bestFit="1" customWidth="1"/>
    <col min="36" max="36" width="4.81640625" style="210" bestFit="1" customWidth="1"/>
    <col min="37" max="37" width="6.7265625" style="210" bestFit="1" customWidth="1"/>
    <col min="38" max="16384" width="9.1796875" style="210"/>
  </cols>
  <sheetData>
    <row r="3" spans="1:37" x14ac:dyDescent="0.35">
      <c r="A3" s="276" t="s">
        <v>972</v>
      </c>
      <c r="B3" s="280" t="s">
        <v>973</v>
      </c>
      <c r="C3" s="288"/>
      <c r="D3" s="288"/>
      <c r="E3" s="278" t="s">
        <v>974</v>
      </c>
      <c r="F3" s="279"/>
      <c r="G3" s="280"/>
      <c r="H3" s="278" t="s">
        <v>975</v>
      </c>
      <c r="I3" s="279"/>
      <c r="J3" s="280"/>
      <c r="K3" s="278" t="s">
        <v>976</v>
      </c>
      <c r="L3" s="279"/>
      <c r="M3" s="280"/>
      <c r="N3" s="278" t="s">
        <v>22</v>
      </c>
      <c r="O3" s="279"/>
      <c r="P3" s="280"/>
      <c r="Q3" s="278" t="s">
        <v>977</v>
      </c>
      <c r="R3" s="279"/>
      <c r="S3" s="280"/>
      <c r="T3" s="278" t="s">
        <v>978</v>
      </c>
      <c r="U3" s="279"/>
      <c r="V3" s="280"/>
      <c r="W3" s="278" t="s">
        <v>979</v>
      </c>
      <c r="X3" s="279"/>
      <c r="Y3" s="280"/>
      <c r="Z3" s="278" t="s">
        <v>980</v>
      </c>
      <c r="AA3" s="279"/>
      <c r="AB3" s="280"/>
      <c r="AC3" s="278" t="s">
        <v>981</v>
      </c>
      <c r="AD3" s="279"/>
      <c r="AE3" s="280"/>
      <c r="AF3" s="278" t="s">
        <v>982</v>
      </c>
      <c r="AG3" s="279"/>
      <c r="AH3" s="280"/>
      <c r="AI3" s="278" t="s">
        <v>983</v>
      </c>
      <c r="AJ3" s="279"/>
      <c r="AK3" s="287"/>
    </row>
    <row r="4" spans="1:37" x14ac:dyDescent="0.35">
      <c r="A4" s="277"/>
      <c r="B4" s="238" t="s">
        <v>984</v>
      </c>
      <c r="C4" s="234" t="s">
        <v>985</v>
      </c>
      <c r="D4" s="234" t="s">
        <v>986</v>
      </c>
      <c r="E4" s="234" t="s">
        <v>984</v>
      </c>
      <c r="F4" s="234" t="s">
        <v>985</v>
      </c>
      <c r="G4" s="234" t="s">
        <v>986</v>
      </c>
      <c r="H4" s="234" t="s">
        <v>984</v>
      </c>
      <c r="I4" s="234" t="s">
        <v>985</v>
      </c>
      <c r="J4" s="234" t="s">
        <v>986</v>
      </c>
      <c r="K4" s="234" t="s">
        <v>984</v>
      </c>
      <c r="L4" s="234" t="s">
        <v>985</v>
      </c>
      <c r="M4" s="234" t="s">
        <v>986</v>
      </c>
      <c r="N4" s="234" t="s">
        <v>984</v>
      </c>
      <c r="O4" s="234" t="s">
        <v>985</v>
      </c>
      <c r="P4" s="234" t="s">
        <v>986</v>
      </c>
      <c r="Q4" s="234" t="s">
        <v>984</v>
      </c>
      <c r="R4" s="234" t="s">
        <v>985</v>
      </c>
      <c r="S4" s="234" t="s">
        <v>986</v>
      </c>
      <c r="T4" s="234" t="s">
        <v>984</v>
      </c>
      <c r="U4" s="234" t="s">
        <v>985</v>
      </c>
      <c r="V4" s="234" t="s">
        <v>986</v>
      </c>
      <c r="W4" s="234" t="s">
        <v>984</v>
      </c>
      <c r="X4" s="234" t="s">
        <v>985</v>
      </c>
      <c r="Y4" s="234" t="s">
        <v>986</v>
      </c>
      <c r="Z4" s="234" t="s">
        <v>984</v>
      </c>
      <c r="AA4" s="234" t="s">
        <v>985</v>
      </c>
      <c r="AB4" s="234" t="s">
        <v>986</v>
      </c>
      <c r="AC4" s="234" t="s">
        <v>984</v>
      </c>
      <c r="AD4" s="234" t="s">
        <v>985</v>
      </c>
      <c r="AE4" s="234" t="s">
        <v>986</v>
      </c>
      <c r="AF4" s="234" t="s">
        <v>984</v>
      </c>
      <c r="AG4" s="234" t="s">
        <v>985</v>
      </c>
      <c r="AH4" s="234" t="s">
        <v>986</v>
      </c>
      <c r="AI4" s="234" t="s">
        <v>984</v>
      </c>
      <c r="AJ4" s="234" t="s">
        <v>985</v>
      </c>
      <c r="AK4" s="235" t="s">
        <v>986</v>
      </c>
    </row>
    <row r="5" spans="1:37" x14ac:dyDescent="0.35">
      <c r="A5" s="240" t="s">
        <v>987</v>
      </c>
      <c r="B5" s="239">
        <f>COUNTIFS('EY Ireland PPM Planner 2025'!$B:$B,'EY Ireland PPM Planner 2025'!$B497,'EY Ireland PPM Planner 2025'!Q:Q,"&lt;&gt;")</f>
        <v>8</v>
      </c>
      <c r="C5" s="231">
        <f>COUNTIFS('EY Ireland PPM Planner 2025'!$B:$B,'EY Ireland PPM Planner 2025'!$B497,'EY Ireland PPM Planner 2025'!Q:Q,"*Done*")</f>
        <v>8</v>
      </c>
      <c r="D5" s="232">
        <f>C5/B5</f>
        <v>1</v>
      </c>
      <c r="E5" s="231">
        <f>COUNTIFS('EY Ireland PPM Planner 2025'!$B:$B, 'EY Ireland PPM Planner 2025'!$B497, 'EY Ireland PPM Planner 2025'!R:R,"&lt;&gt;")</f>
        <v>17</v>
      </c>
      <c r="F5" s="231">
        <f>COUNTIFS('EY Ireland PPM Planner 2025'!$B:$B, 'EY Ireland PPM Planner 2025'!$B497, 'EY Ireland PPM Planner 2025'!R:R,"*Done*")</f>
        <v>12</v>
      </c>
      <c r="G5" s="232">
        <f>F5/E5</f>
        <v>0.70588235294117652</v>
      </c>
      <c r="H5" s="231">
        <f>COUNTIFS('EY Ireland PPM Planner 2025'!$B:$B, 'EY Ireland PPM Planner 2025'!$B497, 'EY Ireland PPM Planner 2025'!S:S,"&lt;&gt;")</f>
        <v>14</v>
      </c>
      <c r="I5" s="231">
        <f>COUNTIFS('EY Ireland PPM Planner 2025'!$B:$B, 'EY Ireland PPM Planner 2025'!$B497, 'EY Ireland PPM Planner 2025'!S:S,"*Done*")</f>
        <v>9</v>
      </c>
      <c r="J5" s="232">
        <f>I5/H5</f>
        <v>0.6428571428571429</v>
      </c>
      <c r="K5" s="231">
        <f>COUNTIFS('EY Ireland PPM Planner 2025'!$B:$B, 'EY Ireland PPM Planner 2025'!$B497, 'EY Ireland PPM Planner 2025'!T:T,"&lt;&gt;")</f>
        <v>10</v>
      </c>
      <c r="L5" s="231">
        <f>COUNTIFS('EY Ireland PPM Planner 2025'!$B:$B, 'EY Ireland PPM Planner 2025'!$B497, 'EY Ireland PPM Planner 2025'!T:T,"*Done*")</f>
        <v>8</v>
      </c>
      <c r="M5" s="232">
        <f>L5/K5</f>
        <v>0.8</v>
      </c>
      <c r="N5" s="231">
        <f>COUNTIFS('EY Ireland PPM Planner 2025'!$B:$B, 'EY Ireland PPM Planner 2025'!$B497, 'EY Ireland PPM Planner 2025'!U:U,"&lt;&gt;")</f>
        <v>13</v>
      </c>
      <c r="O5" s="231">
        <f>COUNTIFS('EY Ireland PPM Planner 2025'!$B:$B, 'EY Ireland PPM Planner 2025'!$B497, 'EY Ireland PPM Planner 2025'!U:U,"*Done*")</f>
        <v>10</v>
      </c>
      <c r="P5" s="232">
        <f>O5/N5</f>
        <v>0.76923076923076927</v>
      </c>
      <c r="Q5" s="231">
        <f>COUNTIFS('EY Ireland PPM Planner 2025'!$B:$B, 'EY Ireland PPM Planner 2025'!$B497, 'EY Ireland PPM Planner 2025'!V:V,"&lt;&gt;")</f>
        <v>8</v>
      </c>
      <c r="R5" s="231">
        <f>COUNTIFS('EY Ireland PPM Planner 2025'!$B:$B, 'EY Ireland PPM Planner 2025'!$B497, 'EY Ireland PPM Planner 2025'!V:V,"*Done*")</f>
        <v>6</v>
      </c>
      <c r="S5" s="232">
        <f>R5/Q5</f>
        <v>0.75</v>
      </c>
      <c r="T5" s="231">
        <f>COUNTIFS('EY Ireland PPM Planner 2025'!$B:$B, 'EY Ireland PPM Planner 2025'!$B497, 'EY Ireland PPM Planner 2025'!W:W,"&lt;&gt;")</f>
        <v>13</v>
      </c>
      <c r="U5" s="231">
        <f>COUNTIFS('EY Ireland PPM Planner 2025'!$B:$B, 'EY Ireland PPM Planner 2025'!$B497, 'EY Ireland PPM Planner 2025'!W:W,"*Done*")</f>
        <v>5</v>
      </c>
      <c r="V5" s="232">
        <f>U5/T5</f>
        <v>0.38461538461538464</v>
      </c>
      <c r="W5" s="231">
        <f>COUNTIFS('EY Ireland PPM Planner 2025'!$B:$B, 'EY Ireland PPM Planner 2025'!$B497, 'EY Ireland PPM Planner 2025'!X:X,"&lt;&gt;")</f>
        <v>20</v>
      </c>
      <c r="X5" s="231">
        <f>COUNTIFS('EY Ireland PPM Planner 2025'!$B:$B, 'EY Ireland PPM Planner 2025'!$B497, 'EY Ireland PPM Planner 2025'!X:X,"*Done*")</f>
        <v>9</v>
      </c>
      <c r="Y5" s="232">
        <f>X5/W5</f>
        <v>0.45</v>
      </c>
      <c r="Z5" s="231">
        <f>COUNTIFS('EY Ireland PPM Planner 2025'!$B:$B, 'EY Ireland PPM Planner 2025'!$B497, 'EY Ireland PPM Planner 2025'!Y:Y,"&lt;&gt;")</f>
        <v>16</v>
      </c>
      <c r="AA5" s="231">
        <f>COUNTIFS('EY Ireland PPM Planner 2025'!$B:$B, 'EY Ireland PPM Planner 2025'!$B497, 'EY Ireland PPM Planner 2025'!Y:Y,"*Done*")</f>
        <v>4</v>
      </c>
      <c r="AB5" s="232">
        <f>AA5/Z5</f>
        <v>0.25</v>
      </c>
      <c r="AC5" s="231">
        <f>COUNTIFS('EY Ireland PPM Planner 2025'!$B:$B, 'EY Ireland PPM Planner 2025'!$B497, 'EY Ireland PPM Planner 2025'!Z:Z,"&lt;&gt;")</f>
        <v>8</v>
      </c>
      <c r="AD5" s="231">
        <f>COUNTIFS('EY Ireland PPM Planner 2025'!$B:$B, 'EY Ireland PPM Planner 2025'!$B497, 'EY Ireland PPM Planner 2025'!Z:Z,"*Done*")</f>
        <v>2</v>
      </c>
      <c r="AE5" s="232">
        <f>AD5/AC5</f>
        <v>0.25</v>
      </c>
      <c r="AF5" s="231">
        <f>COUNTIFS('EY Ireland PPM Planner 2025'!$B:$B, 'EY Ireland PPM Planner 2025'!$B497, 'EY Ireland PPM Planner 2025'!AA:AA,"&lt;&gt;")</f>
        <v>10</v>
      </c>
      <c r="AG5" s="231">
        <f>COUNTIFS('EY Ireland PPM Planner 2025'!$B:$B, 'EY Ireland PPM Planner 2025'!$B497, 'EY Ireland PPM Planner 2025'!AA:AA,"*Done*")</f>
        <v>3</v>
      </c>
      <c r="AH5" s="233">
        <f>AG5/AF5</f>
        <v>0.3</v>
      </c>
      <c r="AI5" s="231">
        <f>COUNTIFS('EY Ireland PPM Planner 2025'!$B:$B, 'EY Ireland PPM Planner 2025'!$B497, 'EY Ireland PPM Planner 2025'!AB:AB,"&lt;&gt;")</f>
        <v>8</v>
      </c>
      <c r="AJ5" s="231">
        <f>COUNTIFS('EY Ireland PPM Planner 2025'!$B:$B, 'EY Ireland PPM Planner 2025'!$B497, 'EY Ireland PPM Planner 2025'!AB:AB,"*Done*")</f>
        <v>1</v>
      </c>
      <c r="AK5" s="236">
        <f>AJ5/AI5</f>
        <v>0.125</v>
      </c>
    </row>
    <row r="6" spans="1:37" x14ac:dyDescent="0.35">
      <c r="A6" s="237" t="s">
        <v>988</v>
      </c>
      <c r="B6" s="239">
        <f>COUNTIFS('EY Ireland PPM Planner 2025'!$B:$B,'EY Ireland PPM Planner 2025'!$B136, 'EY Ireland PPM Planner 2025'!Q:Q,"&lt;&gt;")</f>
        <v>9</v>
      </c>
      <c r="C6" s="231">
        <f>COUNTIFS('EY Ireland PPM Planner 2025'!$B:$B,'EY Ireland PPM Planner 2025'!$B136, 'EY Ireland PPM Planner 2025'!Q:Q,"*Done*")</f>
        <v>9</v>
      </c>
      <c r="D6" s="232">
        <f t="shared" ref="D6:D10" si="0">C6/B6</f>
        <v>1</v>
      </c>
      <c r="E6" s="231">
        <f>COUNTIFS('EY Ireland PPM Planner 2025'!$B:$B,'EY Ireland PPM Planner 2025'!$B136, 'EY Ireland PPM Planner 2025'!R:R,"&lt;&gt;")</f>
        <v>29</v>
      </c>
      <c r="F6" s="231">
        <f>COUNTIFS('EY Ireland PPM Planner 2025'!$B:$B,'EY Ireland PPM Planner 2025'!$B136, 'EY Ireland PPM Planner 2025'!R:R,"*Done*")</f>
        <v>29</v>
      </c>
      <c r="G6" s="232">
        <f t="shared" ref="G6:G11" si="1">F6/E6</f>
        <v>1</v>
      </c>
      <c r="H6" s="231">
        <f>COUNTIFS('EY Ireland PPM Planner 2025'!$B:$B,'EY Ireland PPM Planner 2025'!$B136, 'EY Ireland PPM Planner 2025'!S:S,"&lt;&gt;")</f>
        <v>12</v>
      </c>
      <c r="I6" s="231">
        <f>COUNTIFS('EY Ireland PPM Planner 2025'!$B:$B,'EY Ireland PPM Planner 2025'!$B136, 'EY Ireland PPM Planner 2025'!S:S,"*Done*")</f>
        <v>11</v>
      </c>
      <c r="J6" s="232">
        <f t="shared" ref="J6:J11" si="2">I6/H6</f>
        <v>0.91666666666666663</v>
      </c>
      <c r="K6" s="231">
        <f>COUNTIFS('EY Ireland PPM Planner 2025'!$B:$B,'EY Ireland PPM Planner 2025'!$B136, 'EY Ireland PPM Planner 2025'!T:T,"&lt;&gt;")</f>
        <v>9</v>
      </c>
      <c r="L6" s="231">
        <f>COUNTIFS('EY Ireland PPM Planner 2025'!$B:$B,'EY Ireland PPM Planner 2025'!$B136, 'EY Ireland PPM Planner 2025'!T:T,"*Done*")</f>
        <v>9</v>
      </c>
      <c r="M6" s="232">
        <f t="shared" ref="M6:M11" si="3">L6/K6</f>
        <v>1</v>
      </c>
      <c r="N6" s="231">
        <f>COUNTIFS('EY Ireland PPM Planner 2025'!$B:$B,'EY Ireland PPM Planner 2025'!$B136, 'EY Ireland PPM Planner 2025'!U:U,"&lt;&gt;")</f>
        <v>15</v>
      </c>
      <c r="O6" s="231">
        <f>COUNTIFS('EY Ireland PPM Planner 2025'!$B:$B,'EY Ireland PPM Planner 2025'!$B136, 'EY Ireland PPM Planner 2025'!U:U,"*Done*")</f>
        <v>15</v>
      </c>
      <c r="P6" s="232">
        <f t="shared" ref="P6:P11" si="4">O6/N6</f>
        <v>1</v>
      </c>
      <c r="Q6" s="231">
        <f>COUNTIFS('EY Ireland PPM Planner 2025'!$B:$B,'EY Ireland PPM Planner 2025'!$B136, 'EY Ireland PPM Planner 2025'!V:V,"&lt;&gt;")</f>
        <v>9</v>
      </c>
      <c r="R6" s="231">
        <f>COUNTIFS('EY Ireland PPM Planner 2025'!$B:$B,'EY Ireland PPM Planner 2025'!$B136, 'EY Ireland PPM Planner 2025'!V:V,"*Done*")</f>
        <v>7</v>
      </c>
      <c r="S6" s="232">
        <f t="shared" ref="S6:S11" si="5">R6/Q6</f>
        <v>0.77777777777777779</v>
      </c>
      <c r="T6" s="231">
        <f>COUNTIFS('EY Ireland PPM Planner 2025'!$B:$B,'EY Ireland PPM Planner 2025'!$B136, 'EY Ireland PPM Planner 2025'!W:W,"&lt;&gt;")</f>
        <v>17</v>
      </c>
      <c r="U6" s="231">
        <f>COUNTIFS('EY Ireland PPM Planner 2025'!$B:$B,'EY Ireland PPM Planner 2025'!$B136, 'EY Ireland PPM Planner 2025'!W:W,"*Done*")</f>
        <v>13</v>
      </c>
      <c r="V6" s="232">
        <f t="shared" ref="V6:V11" si="6">U6/T6</f>
        <v>0.76470588235294112</v>
      </c>
      <c r="W6" s="231">
        <f>COUNTIFS('EY Ireland PPM Planner 2025'!$B:$B,'EY Ireland PPM Planner 2025'!$B136, 'EY Ireland PPM Planner 2025'!X:X,"&lt;&gt;")</f>
        <v>33</v>
      </c>
      <c r="X6" s="231">
        <f>COUNTIFS('EY Ireland PPM Planner 2025'!$B:$B,'EY Ireland PPM Planner 2025'!$B136, 'EY Ireland PPM Planner 2025'!X:X,"*Done*")</f>
        <v>24</v>
      </c>
      <c r="Y6" s="232">
        <f t="shared" ref="Y6:Y11" si="7">X6/W6</f>
        <v>0.72727272727272729</v>
      </c>
      <c r="Z6" s="231">
        <f>COUNTIFS('EY Ireland PPM Planner 2025'!$B:$B,'EY Ireland PPM Planner 2025'!$B136, 'EY Ireland PPM Planner 2025'!Y:Y,"&lt;&gt;")</f>
        <v>11</v>
      </c>
      <c r="AA6" s="231">
        <f>COUNTIFS('EY Ireland PPM Planner 2025'!$B:$B,'EY Ireland PPM Planner 2025'!$B136, 'EY Ireland PPM Planner 2025'!Y:Y,"*Done*")</f>
        <v>9</v>
      </c>
      <c r="AB6" s="232">
        <f t="shared" ref="AB6:AB11" si="8">AA6/Z6</f>
        <v>0.81818181818181823</v>
      </c>
      <c r="AC6" s="231">
        <f>COUNTIFS('EY Ireland PPM Planner 2025'!$B:$B,'EY Ireland PPM Planner 2025'!$B136, 'EY Ireland PPM Planner 2025'!Z:Z,"&lt;&gt;")</f>
        <v>8</v>
      </c>
      <c r="AD6" s="231">
        <f>COUNTIFS('EY Ireland PPM Planner 2025'!$B:$B,'EY Ireland PPM Planner 2025'!$B136, 'EY Ireland PPM Planner 2025'!Z:Z,"*Done*")</f>
        <v>3</v>
      </c>
      <c r="AE6" s="232">
        <f t="shared" ref="AE6:AE11" si="9">AD6/AC6</f>
        <v>0.375</v>
      </c>
      <c r="AF6" s="231">
        <f>COUNTIFS('EY Ireland PPM Planner 2025'!$B:$B,'EY Ireland PPM Planner 2025'!$B136, 'EY Ireland PPM Planner 2025'!AA:AA,"&lt;&gt;")</f>
        <v>8</v>
      </c>
      <c r="AG6" s="231">
        <f>COUNTIFS('EY Ireland PPM Planner 2025'!$B:$B,'EY Ireland PPM Planner 2025'!$B136, 'EY Ireland PPM Planner 2025'!AA:AA,"*Done*")</f>
        <v>2</v>
      </c>
      <c r="AH6" s="233">
        <f t="shared" ref="AH6:AH11" si="10">AG6/AF6</f>
        <v>0.25</v>
      </c>
      <c r="AI6" s="231">
        <f>COUNTIFS('EY Ireland PPM Planner 2025'!$B:$B,'EY Ireland PPM Planner 2025'!$B136, 'EY Ireland PPM Planner 2025'!AB:AB,"&lt;&gt;")</f>
        <v>8</v>
      </c>
      <c r="AJ6" s="231">
        <f>COUNTIFS('EY Ireland PPM Planner 2025'!$B:$B,'EY Ireland PPM Planner 2025'!$B136, 'EY Ireland PPM Planner 2025'!AB:AB,"*Done*")</f>
        <v>1</v>
      </c>
      <c r="AK6" s="236">
        <f t="shared" ref="AK6:AK11" si="11">AJ6/AI6</f>
        <v>0.125</v>
      </c>
    </row>
    <row r="7" spans="1:37" x14ac:dyDescent="0.35">
      <c r="A7" s="237" t="s">
        <v>989</v>
      </c>
      <c r="B7" s="239">
        <f>COUNTIFS('EY Ireland PPM Planner 2025'!$B:$B,'EY Ireland PPM Planner 2025'!$B597, 'EY Ireland PPM Planner 2025'!Q:Q,"&lt;&gt;")</f>
        <v>6</v>
      </c>
      <c r="C7" s="231">
        <f>COUNTIFS('EY Ireland PPM Planner 2025'!$B:$B,'EY Ireland PPM Planner 2025'!$B597, 'EY Ireland PPM Planner 2025'!Q:Q,"*Done*")</f>
        <v>6</v>
      </c>
      <c r="D7" s="232">
        <f t="shared" si="0"/>
        <v>1</v>
      </c>
      <c r="E7" s="231">
        <f>COUNTIFS('EY Ireland PPM Planner 2025'!$B:$B,'EY Ireland PPM Planner 2025'!$B597, 'EY Ireland PPM Planner 2025'!R:R,"&lt;&gt;")</f>
        <v>11</v>
      </c>
      <c r="F7" s="231">
        <f>COUNTIFS('EY Ireland PPM Planner 2025'!$B:$B,'EY Ireland PPM Planner 2025'!$B597, 'EY Ireland PPM Planner 2025'!R:R,"*Done*")</f>
        <v>10</v>
      </c>
      <c r="G7" s="232">
        <f t="shared" si="1"/>
        <v>0.90909090909090906</v>
      </c>
      <c r="H7" s="231">
        <f>COUNTIFS('EY Ireland PPM Planner 2025'!$B:$B,'EY Ireland PPM Planner 2025'!$B597, 'EY Ireland PPM Planner 2025'!S:S,"&lt;&gt;")</f>
        <v>4</v>
      </c>
      <c r="I7" s="231">
        <f>COUNTIFS('EY Ireland PPM Planner 2025'!$B:$B,'EY Ireland PPM Planner 2025'!$B597, 'EY Ireland PPM Planner 2025'!S:S,"*Done*")</f>
        <v>4</v>
      </c>
      <c r="J7" s="232">
        <f t="shared" si="2"/>
        <v>1</v>
      </c>
      <c r="K7" s="231">
        <f>COUNTIFS('EY Ireland PPM Planner 2025'!$B:$B,'EY Ireland PPM Planner 2025'!$B597, 'EY Ireland PPM Planner 2025'!T:T,"&lt;&gt;")</f>
        <v>6</v>
      </c>
      <c r="L7" s="231">
        <f>COUNTIFS('EY Ireland PPM Planner 2025'!$B:$B,'EY Ireland PPM Planner 2025'!$B597, 'EY Ireland PPM Planner 2025'!T:T,"*Done*")</f>
        <v>5</v>
      </c>
      <c r="M7" s="232">
        <f t="shared" si="3"/>
        <v>0.83333333333333337</v>
      </c>
      <c r="N7" s="231">
        <f>COUNTIFS('EY Ireland PPM Planner 2025'!$B:$B,'EY Ireland PPM Planner 2025'!$B597, 'EY Ireland PPM Planner 2025'!U:U,"&lt;&gt;")</f>
        <v>10</v>
      </c>
      <c r="O7" s="231">
        <f>COUNTIFS('EY Ireland PPM Planner 2025'!$B:$B,'EY Ireland PPM Planner 2025'!$B597, 'EY Ireland PPM Planner 2025'!U:U,"*Done*")</f>
        <v>9</v>
      </c>
      <c r="P7" s="232">
        <f t="shared" si="4"/>
        <v>0.9</v>
      </c>
      <c r="Q7" s="231">
        <f>COUNTIFS('EY Ireland PPM Planner 2025'!$B:$B,'EY Ireland PPM Planner 2025'!$B597, 'EY Ireland PPM Planner 2025'!V:V,"&lt;&gt;")</f>
        <v>4</v>
      </c>
      <c r="R7" s="231">
        <f>COUNTIFS('EY Ireland PPM Planner 2025'!$B:$B,'EY Ireland PPM Planner 2025'!$B597, 'EY Ireland PPM Planner 2025'!V:V,"*Done*")</f>
        <v>4</v>
      </c>
      <c r="S7" s="232">
        <f t="shared" si="5"/>
        <v>1</v>
      </c>
      <c r="T7" s="231">
        <f>COUNTIFS('EY Ireland PPM Planner 2025'!$B:$B,'EY Ireland PPM Planner 2025'!$B597, 'EY Ireland PPM Planner 2025'!W:W,"&lt;&gt;")</f>
        <v>9</v>
      </c>
      <c r="U7" s="231">
        <f>COUNTIFS('EY Ireland PPM Planner 2025'!$B:$B,'EY Ireland PPM Planner 2025'!$B597, 'EY Ireland PPM Planner 2025'!W:W,"*Done*")</f>
        <v>6</v>
      </c>
      <c r="V7" s="232">
        <f t="shared" si="6"/>
        <v>0.66666666666666663</v>
      </c>
      <c r="W7" s="231">
        <f>COUNTIFS('EY Ireland PPM Planner 2025'!$B:$B,'EY Ireland PPM Planner 2025'!$B597, 'EY Ireland PPM Planner 2025'!X:X,"&lt;&gt;")</f>
        <v>10</v>
      </c>
      <c r="X7" s="231">
        <f>COUNTIFS('EY Ireland PPM Planner 2025'!$B:$B,'EY Ireland PPM Planner 2025'!$B597, 'EY Ireland PPM Planner 2025'!X:X,"*Done*")</f>
        <v>7</v>
      </c>
      <c r="Y7" s="232">
        <f t="shared" si="7"/>
        <v>0.7</v>
      </c>
      <c r="Z7" s="231">
        <f>COUNTIFS('EY Ireland PPM Planner 2025'!$B:$B,'EY Ireland PPM Planner 2025'!$B597, 'EY Ireland PPM Planner 2025'!Y:Y,"&lt;&gt;")</f>
        <v>4</v>
      </c>
      <c r="AA7" s="231">
        <f>COUNTIFS('EY Ireland PPM Planner 2025'!$B:$B,'EY Ireland PPM Planner 2025'!$B597, 'EY Ireland PPM Planner 2025'!Y:Y,"*Done*")</f>
        <v>4</v>
      </c>
      <c r="AB7" s="232">
        <f t="shared" si="8"/>
        <v>1</v>
      </c>
      <c r="AC7" s="231">
        <f>COUNTIFS('EY Ireland PPM Planner 2025'!$B:$B,'EY Ireland PPM Planner 2025'!$B597, 'EY Ireland PPM Planner 2025'!Z:Z,"&lt;&gt;")</f>
        <v>6</v>
      </c>
      <c r="AD7" s="231">
        <f>COUNTIFS('EY Ireland PPM Planner 2025'!$B:$B,'EY Ireland PPM Planner 2025'!$B597, 'EY Ireland PPM Planner 2025'!Z:Z,"*Done*")</f>
        <v>6</v>
      </c>
      <c r="AE7" s="232">
        <f t="shared" si="9"/>
        <v>1</v>
      </c>
      <c r="AF7" s="231">
        <f>COUNTIFS('EY Ireland PPM Planner 2025'!$B:$B,'EY Ireland PPM Planner 2025'!$B597, 'EY Ireland PPM Planner 2025'!AA:AA,"&lt;&gt;")</f>
        <v>5</v>
      </c>
      <c r="AG7" s="231">
        <f>COUNTIFS('EY Ireland PPM Planner 2025'!$B:$B,'EY Ireland PPM Planner 2025'!$B597, 'EY Ireland PPM Planner 2025'!AA:AA,"*Done*")</f>
        <v>4</v>
      </c>
      <c r="AH7" s="233">
        <f t="shared" si="10"/>
        <v>0.8</v>
      </c>
      <c r="AI7" s="231">
        <f>COUNTIFS('EY Ireland PPM Planner 2025'!$B:$B,'EY Ireland PPM Planner 2025'!$B597, 'EY Ireland PPM Planner 2025'!AB:AB,"&lt;&gt;")</f>
        <v>4</v>
      </c>
      <c r="AJ7" s="231">
        <f>COUNTIFS('EY Ireland PPM Planner 2025'!$B:$B,'EY Ireland PPM Planner 2025'!$B597, 'EY Ireland PPM Planner 2025'!AB:AB,"*Done*")</f>
        <v>4</v>
      </c>
      <c r="AK7" s="236">
        <f t="shared" si="11"/>
        <v>1</v>
      </c>
    </row>
    <row r="8" spans="1:37" x14ac:dyDescent="0.35">
      <c r="A8" s="237" t="s">
        <v>990</v>
      </c>
      <c r="B8" s="239">
        <f>COUNTIFS('EY Ireland PPM Planner 2025'!$B:$B,'EY Ireland PPM Planner 2025'!$B37, 'EY Ireland PPM Planner 2025'!Q:Q,"&lt;&gt;")</f>
        <v>9</v>
      </c>
      <c r="C8" s="231">
        <f>COUNTIFS('EY Ireland PPM Planner 2025'!$B:$B,'EY Ireland PPM Planner 2025'!$B37, 'EY Ireland PPM Planner 2025'!Q:Q,"*Done*")</f>
        <v>8</v>
      </c>
      <c r="D8" s="232">
        <f t="shared" si="0"/>
        <v>0.88888888888888884</v>
      </c>
      <c r="E8" s="231">
        <f>COUNTIFS('EY Ireland PPM Planner 2025'!$B:$B,'EY Ireland PPM Planner 2025'!$B37, 'EY Ireland PPM Planner 2025'!R:R,"&lt;&gt;")</f>
        <v>13</v>
      </c>
      <c r="F8" s="231">
        <f>COUNTIFS('EY Ireland PPM Planner 2025'!$B:$B,'EY Ireland PPM Planner 2025'!$B37, 'EY Ireland PPM Planner 2025'!R:R,"*Done*")</f>
        <v>13</v>
      </c>
      <c r="G8" s="232">
        <f t="shared" si="1"/>
        <v>1</v>
      </c>
      <c r="H8" s="231">
        <f>COUNTIFS('EY Ireland PPM Planner 2025'!$B:$B,'EY Ireland PPM Planner 2025'!$B37, 'EY Ireland PPM Planner 2025'!S:S,"&lt;&gt;")</f>
        <v>9</v>
      </c>
      <c r="I8" s="231">
        <f>COUNTIFS('EY Ireland PPM Planner 2025'!$B:$B,'EY Ireland PPM Planner 2025'!$B37, 'EY Ireland PPM Planner 2025'!S:S,"*Done*")</f>
        <v>8</v>
      </c>
      <c r="J8" s="232">
        <f t="shared" si="2"/>
        <v>0.88888888888888884</v>
      </c>
      <c r="K8" s="231">
        <f>COUNTIFS('EY Ireland PPM Planner 2025'!$B:$B,'EY Ireland PPM Planner 2025'!$B37, 'EY Ireland PPM Planner 2025'!T:T,"&lt;&gt;")</f>
        <v>8</v>
      </c>
      <c r="L8" s="231">
        <f>COUNTIFS('EY Ireland PPM Planner 2025'!$B:$B,'EY Ireland PPM Planner 2025'!$B37, 'EY Ireland PPM Planner 2025'!T:T,"*Done*")</f>
        <v>8</v>
      </c>
      <c r="M8" s="232">
        <f t="shared" si="3"/>
        <v>1</v>
      </c>
      <c r="N8" s="231">
        <f>COUNTIFS('EY Ireland PPM Planner 2025'!$B:$B,'EY Ireland PPM Planner 2025'!$B37, 'EY Ireland PPM Planner 2025'!U:U,"&lt;&gt;")</f>
        <v>15</v>
      </c>
      <c r="O8" s="231">
        <f>COUNTIFS('EY Ireland PPM Planner 2025'!$B:$B,'EY Ireland PPM Planner 2025'!$B37, 'EY Ireland PPM Planner 2025'!U:U,"*Done*")</f>
        <v>11</v>
      </c>
      <c r="P8" s="232">
        <f t="shared" si="4"/>
        <v>0.73333333333333328</v>
      </c>
      <c r="Q8" s="231">
        <f>COUNTIFS('EY Ireland PPM Planner 2025'!$B:$B,'EY Ireland PPM Planner 2025'!$B37, 'EY Ireland PPM Planner 2025'!V:V,"&lt;&gt;")</f>
        <v>6</v>
      </c>
      <c r="R8" s="231">
        <f>COUNTIFS('EY Ireland PPM Planner 2025'!$B:$B,'EY Ireland PPM Planner 2025'!$B37, 'EY Ireland PPM Planner 2025'!V:V,"*Done*")</f>
        <v>6</v>
      </c>
      <c r="S8" s="232">
        <f t="shared" si="5"/>
        <v>1</v>
      </c>
      <c r="T8" s="231">
        <f>COUNTIFS('EY Ireland PPM Planner 2025'!$B:$B,'EY Ireland PPM Planner 2025'!$B37, 'EY Ireland PPM Planner 2025'!W:W,"&lt;&gt;")</f>
        <v>9</v>
      </c>
      <c r="U8" s="231">
        <f>COUNTIFS('EY Ireland PPM Planner 2025'!$B:$B,'EY Ireland PPM Planner 2025'!$B37, 'EY Ireland PPM Planner 2025'!W:W,"*Done*")</f>
        <v>9</v>
      </c>
      <c r="V8" s="232">
        <f t="shared" si="6"/>
        <v>1</v>
      </c>
      <c r="W8" s="231">
        <f>COUNTIFS('EY Ireland PPM Planner 2025'!$B:$B,'EY Ireland PPM Planner 2025'!$B37, 'EY Ireland PPM Planner 2025'!X:X,"&lt;&gt;")</f>
        <v>11</v>
      </c>
      <c r="X8" s="231">
        <f>COUNTIFS('EY Ireland PPM Planner 2025'!$B:$B,'EY Ireland PPM Planner 2025'!$B37, 'EY Ireland PPM Planner 2025'!X:X,"*Done*")</f>
        <v>11</v>
      </c>
      <c r="Y8" s="232">
        <f t="shared" si="7"/>
        <v>1</v>
      </c>
      <c r="Z8" s="231">
        <f>COUNTIFS('EY Ireland PPM Planner 2025'!$B:$B,'EY Ireland PPM Planner 2025'!$B37, 'EY Ireland PPM Planner 2025'!Y:Y,"&lt;&gt;")</f>
        <v>7</v>
      </c>
      <c r="AA8" s="231">
        <f>COUNTIFS('EY Ireland PPM Planner 2025'!$B:$B,'EY Ireland PPM Planner 2025'!$B37, 'EY Ireland PPM Planner 2025'!Y:Y,"*Done*")</f>
        <v>7</v>
      </c>
      <c r="AB8" s="232">
        <f t="shared" si="8"/>
        <v>1</v>
      </c>
      <c r="AC8" s="231">
        <f>COUNTIFS('EY Ireland PPM Planner 2025'!$B:$B,'EY Ireland PPM Planner 2025'!$B37, 'EY Ireland PPM Planner 2025'!Z:Z,"&lt;&gt;")</f>
        <v>8</v>
      </c>
      <c r="AD8" s="231">
        <f>COUNTIFS('EY Ireland PPM Planner 2025'!$B:$B,'EY Ireland PPM Planner 2025'!$B37, 'EY Ireland PPM Planner 2025'!Z:Z,"*Done*")</f>
        <v>8</v>
      </c>
      <c r="AE8" s="232">
        <f t="shared" si="9"/>
        <v>1</v>
      </c>
      <c r="AF8" s="231">
        <f>COUNTIFS('EY Ireland PPM Planner 2025'!$B:$B,'EY Ireland PPM Planner 2025'!$B37, 'EY Ireland PPM Planner 2025'!AA:AA,"&lt;&gt;")</f>
        <v>8</v>
      </c>
      <c r="AG8" s="231">
        <f>COUNTIFS('EY Ireland PPM Planner 2025'!$B:$B,'EY Ireland PPM Planner 2025'!$B37, 'EY Ireland PPM Planner 2025'!AA:AA,"*Done*")</f>
        <v>8</v>
      </c>
      <c r="AH8" s="233">
        <f t="shared" si="10"/>
        <v>1</v>
      </c>
      <c r="AI8" s="231">
        <f>COUNTIFS('EY Ireland PPM Planner 2025'!$B:$B,'EY Ireland PPM Planner 2025'!$B37, 'EY Ireland PPM Planner 2025'!AB:AB,"&lt;&gt;")</f>
        <v>6</v>
      </c>
      <c r="AJ8" s="231">
        <f>COUNTIFS('EY Ireland PPM Planner 2025'!$B:$B,'EY Ireland PPM Planner 2025'!$B37, 'EY Ireland PPM Planner 2025'!AB:AB,"*Done*")</f>
        <v>6</v>
      </c>
      <c r="AK8" s="236">
        <f t="shared" si="11"/>
        <v>1</v>
      </c>
    </row>
    <row r="9" spans="1:37" x14ac:dyDescent="0.35">
      <c r="A9" s="237" t="s">
        <v>991</v>
      </c>
      <c r="B9" s="239">
        <f>COUNTIFS('EY Ireland PPM Planner 2025'!$B:$B,'EY Ireland PPM Planner 2025'!$B82, 'EY Ireland PPM Planner 2025'!Q:Q,"&lt;&gt;")</f>
        <v>5</v>
      </c>
      <c r="C9" s="231">
        <f>COUNTIFS('EY Ireland PPM Planner 2025'!$B:$B,'EY Ireland PPM Planner 2025'!$B82, 'EY Ireland PPM Planner 2025'!Q:Q,"*Done*")</f>
        <v>5</v>
      </c>
      <c r="D9" s="232">
        <f t="shared" si="0"/>
        <v>1</v>
      </c>
      <c r="E9" s="231">
        <f>COUNTIFS('EY Ireland PPM Planner 2025'!$B:$B,'EY Ireland PPM Planner 2025'!$B82, 'EY Ireland PPM Planner 2025'!R:R,"&lt;&gt;")</f>
        <v>13</v>
      </c>
      <c r="F9" s="231">
        <f>COUNTIFS('EY Ireland PPM Planner 2025'!$B:$B,'EY Ireland PPM Planner 2025'!$B82, 'EY Ireland PPM Planner 2025'!R:R,"*Done*")</f>
        <v>13</v>
      </c>
      <c r="G9" s="232">
        <f t="shared" si="1"/>
        <v>1</v>
      </c>
      <c r="H9" s="231">
        <f>COUNTIFS('EY Ireland PPM Planner 2025'!$B:$B,'EY Ireland PPM Planner 2025'!$B82, 'EY Ireland PPM Planner 2025'!S:S,"&lt;&gt;")</f>
        <v>3</v>
      </c>
      <c r="I9" s="231">
        <f>COUNTIFS('EY Ireland PPM Planner 2025'!$B:$B,'EY Ireland PPM Planner 2025'!$B82, 'EY Ireland PPM Planner 2025'!S:S,"*Done*")</f>
        <v>3</v>
      </c>
      <c r="J9" s="232">
        <f t="shared" si="2"/>
        <v>1</v>
      </c>
      <c r="K9" s="231">
        <f>COUNTIFS('EY Ireland PPM Planner 2025'!$B:$B,'EY Ireland PPM Planner 2025'!$B82, 'EY Ireland PPM Planner 2025'!T:T,"&lt;&gt;")</f>
        <v>5</v>
      </c>
      <c r="L9" s="231">
        <f>COUNTIFS('EY Ireland PPM Planner 2025'!$B:$B,'EY Ireland PPM Planner 2025'!$B82, 'EY Ireland PPM Planner 2025'!T:T,"*Done*")</f>
        <v>4</v>
      </c>
      <c r="M9" s="232">
        <f t="shared" si="3"/>
        <v>0.8</v>
      </c>
      <c r="N9" s="231">
        <f>COUNTIFS('EY Ireland PPM Planner 2025'!$B:$B,'EY Ireland PPM Planner 2025'!$B82, 'EY Ireland PPM Planner 2025'!U:U,"&lt;&gt;")</f>
        <v>10</v>
      </c>
      <c r="O9" s="231">
        <f>COUNTIFS('EY Ireland PPM Planner 2025'!$B:$B,'EY Ireland PPM Planner 2025'!$B82, 'EY Ireland PPM Planner 2025'!U:U,"*Done*")</f>
        <v>10</v>
      </c>
      <c r="P9" s="232">
        <f t="shared" si="4"/>
        <v>1</v>
      </c>
      <c r="Q9" s="231">
        <f>COUNTIFS('EY Ireland PPM Planner 2025'!$B:$B,'EY Ireland PPM Planner 2025'!$B82, 'EY Ireland PPM Planner 2025'!V:V,"&lt;&gt;")</f>
        <v>3</v>
      </c>
      <c r="R9" s="231">
        <f>COUNTIFS('EY Ireland PPM Planner 2025'!$B:$B,'EY Ireland PPM Planner 2025'!$B82, 'EY Ireland PPM Planner 2025'!V:V,"*Done*")</f>
        <v>3</v>
      </c>
      <c r="S9" s="232">
        <f t="shared" si="5"/>
        <v>1</v>
      </c>
      <c r="T9" s="231">
        <f>COUNTIFS('EY Ireland PPM Planner 2025'!$B:$B,'EY Ireland PPM Planner 2025'!$B82, 'EY Ireland PPM Planner 2025'!W:W,"&lt;&gt;")</f>
        <v>5</v>
      </c>
      <c r="U9" s="231">
        <f>COUNTIFS('EY Ireland PPM Planner 2025'!$B:$B,'EY Ireland PPM Planner 2025'!$B82, 'EY Ireland PPM Planner 2025'!W:W,"*Done*")</f>
        <v>4</v>
      </c>
      <c r="V9" s="232">
        <f t="shared" si="6"/>
        <v>0.8</v>
      </c>
      <c r="W9" s="231">
        <f>COUNTIFS('EY Ireland PPM Planner 2025'!$B:$B,'EY Ireland PPM Planner 2025'!$B82, 'EY Ireland PPM Planner 2025'!X:X,"&lt;&gt;")</f>
        <v>16</v>
      </c>
      <c r="X9" s="231">
        <f>COUNTIFS('EY Ireland PPM Planner 2025'!$B:$B,'EY Ireland PPM Planner 2025'!$B82, 'EY Ireland PPM Planner 2025'!X:X,"*Done*")</f>
        <v>13</v>
      </c>
      <c r="Y9" s="232">
        <f t="shared" si="7"/>
        <v>0.8125</v>
      </c>
      <c r="Z9" s="231">
        <f>COUNTIFS('EY Ireland PPM Planner 2025'!$B:$B,'EY Ireland PPM Planner 2025'!$B82, 'EY Ireland PPM Planner 2025'!Y:Y,"&lt;&gt;")</f>
        <v>3</v>
      </c>
      <c r="AA9" s="231">
        <f>COUNTIFS('EY Ireland PPM Planner 2025'!$B:$B,'EY Ireland PPM Planner 2025'!$B82, 'EY Ireland PPM Planner 2025'!Y:Y,"*Done*")</f>
        <v>3</v>
      </c>
      <c r="AB9" s="232">
        <f t="shared" si="8"/>
        <v>1</v>
      </c>
      <c r="AC9" s="231">
        <f>COUNTIFS('EY Ireland PPM Planner 2025'!$B:$B,'EY Ireland PPM Planner 2025'!$B82, 'EY Ireland PPM Planner 2025'!Z:Z,"&lt;&gt;")</f>
        <v>5</v>
      </c>
      <c r="AD9" s="231">
        <f>COUNTIFS('EY Ireland PPM Planner 2025'!$B:$B,'EY Ireland PPM Planner 2025'!$B82, 'EY Ireland PPM Planner 2025'!Z:Z,"*Done*")</f>
        <v>4</v>
      </c>
      <c r="AE9" s="232">
        <f t="shared" si="9"/>
        <v>0.8</v>
      </c>
      <c r="AF9" s="231">
        <f>COUNTIFS('EY Ireland PPM Planner 2025'!$B:$B,'EY Ireland PPM Planner 2025'!$B82, 'EY Ireland PPM Planner 2025'!AA:AA,"&lt;&gt;")</f>
        <v>4</v>
      </c>
      <c r="AG9" s="231">
        <f>COUNTIFS('EY Ireland PPM Planner 2025'!$B:$B,'EY Ireland PPM Planner 2025'!$B82, 'EY Ireland PPM Planner 2025'!AA:AA,"*Done*")</f>
        <v>4</v>
      </c>
      <c r="AH9" s="233">
        <f t="shared" si="10"/>
        <v>1</v>
      </c>
      <c r="AI9" s="231">
        <f>COUNTIFS('EY Ireland PPM Planner 2025'!$B:$B,'EY Ireland PPM Planner 2025'!$B82, 'EY Ireland PPM Planner 2025'!AB:AB,"&lt;&gt;")</f>
        <v>3</v>
      </c>
      <c r="AJ9" s="231">
        <f>COUNTIFS('EY Ireland PPM Planner 2025'!$B:$B,'EY Ireland PPM Planner 2025'!$B82, 'EY Ireland PPM Planner 2025'!AB:AB,"*Done*")</f>
        <v>3</v>
      </c>
      <c r="AK9" s="236">
        <f t="shared" si="11"/>
        <v>1</v>
      </c>
    </row>
    <row r="10" spans="1:37" ht="17.25" customHeight="1" x14ac:dyDescent="0.35">
      <c r="A10" s="241" t="s">
        <v>992</v>
      </c>
      <c r="B10" s="247">
        <f>COUNTIFS('EY Ireland PPM Planner 2025'!$B:$B,'EY Ireland PPM Planner 2025'!$B649, 'EY Ireland PPM Planner 2025'!Q:Q,"&lt;&gt;")</f>
        <v>13</v>
      </c>
      <c r="C10" s="248">
        <f>COUNTIFS('EY Ireland PPM Planner 2025'!$B:$B,'EY Ireland PPM Planner 2025'!$B639, 'EY Ireland PPM Planner 2025'!Q:Q,"*Done*")</f>
        <v>12</v>
      </c>
      <c r="D10" s="249">
        <f t="shared" si="0"/>
        <v>0.92307692307692313</v>
      </c>
      <c r="E10" s="250">
        <f>COUNTIFS('EY Ireland PPM Planner 2025'!$B:$B,'EY Ireland PPM Planner 2025'!$B649, 'EY Ireland PPM Planner 2025'!R:R,"&lt;&gt;")</f>
        <v>11</v>
      </c>
      <c r="F10" s="250">
        <f>COUNTIFS('EY Ireland PPM Planner 2025'!$B:$B,'EY Ireland PPM Planner 2025'!$B649, 'EY Ireland PPM Planner 2025'!R:R,"*Done*")</f>
        <v>10</v>
      </c>
      <c r="G10" s="249">
        <f t="shared" si="1"/>
        <v>0.90909090909090906</v>
      </c>
      <c r="H10" s="250">
        <f>COUNTIFS('EY Ireland PPM Planner 2025'!$B:$B,'EY Ireland PPM Planner 2025'!$B649, 'EY Ireland PPM Planner 2025'!S:S,"&lt;&gt;")</f>
        <v>10</v>
      </c>
      <c r="I10" s="250">
        <f>COUNTIFS('EY Ireland PPM Planner 2025'!$B:$B,'EY Ireland PPM Planner 2025'!$B649, 'EY Ireland PPM Planner 2025'!S:S,"*Done*")</f>
        <v>9</v>
      </c>
      <c r="J10" s="249">
        <f t="shared" si="2"/>
        <v>0.9</v>
      </c>
      <c r="K10" s="250">
        <f>COUNTIFS('EY Ireland PPM Planner 2025'!$B:$B,'EY Ireland PPM Planner 2025'!$B649, 'EY Ireland PPM Planner 2025'!T:T,"&lt;&gt;")</f>
        <v>18</v>
      </c>
      <c r="L10" s="250">
        <f>COUNTIFS('EY Ireland PPM Planner 2025'!$B:$B,'EY Ireland PPM Planner 2025'!$B649, 'EY Ireland PPM Planner 2025'!T:T,"*Done*")</f>
        <v>12</v>
      </c>
      <c r="M10" s="249">
        <f t="shared" si="3"/>
        <v>0.66666666666666663</v>
      </c>
      <c r="N10" s="250">
        <f>COUNTIFS('EY Ireland PPM Planner 2025'!$B:$B,'EY Ireland PPM Planner 2025'!$B649, 'EY Ireland PPM Planner 2025'!U:U,"&lt;&gt;")</f>
        <v>13</v>
      </c>
      <c r="O10" s="250">
        <f>COUNTIFS('EY Ireland PPM Planner 2025'!$B:$B,'EY Ireland PPM Planner 2025'!$B649, 'EY Ireland PPM Planner 2025'!U:U,"*Done*")</f>
        <v>10</v>
      </c>
      <c r="P10" s="249">
        <f t="shared" si="4"/>
        <v>0.76923076923076927</v>
      </c>
      <c r="Q10" s="250">
        <f>COUNTIFS('EY Ireland PPM Planner 2025'!$B:$B,'EY Ireland PPM Planner 2025'!$B649, 'EY Ireland PPM Planner 2025'!V:V,"&lt;&gt;")</f>
        <v>11</v>
      </c>
      <c r="R10" s="250">
        <f>COUNTIFS('EY Ireland PPM Planner 2025'!$B:$B,'EY Ireland PPM Planner 2025'!$B649, 'EY Ireland PPM Planner 2025'!V:V,"*Done*")</f>
        <v>9</v>
      </c>
      <c r="S10" s="249">
        <f t="shared" si="5"/>
        <v>0.81818181818181823</v>
      </c>
      <c r="T10" s="250">
        <f>COUNTIFS('EY Ireland PPM Planner 2025'!$B:$B,'EY Ireland PPM Planner 2025'!$B649, 'EY Ireland PPM Planner 2025'!W:W,"&lt;&gt;")</f>
        <v>11</v>
      </c>
      <c r="U10" s="250">
        <f>COUNTIFS('EY Ireland PPM Planner 2025'!$B:$B,'EY Ireland PPM Planner 2025'!$B649, 'EY Ireland PPM Planner 2025'!W:W,"*Done*")</f>
        <v>11</v>
      </c>
      <c r="V10" s="249">
        <f t="shared" si="6"/>
        <v>1</v>
      </c>
      <c r="W10" s="250">
        <f>COUNTIFS('EY Ireland PPM Planner 2025'!$B:$B,'EY Ireland PPM Planner 2025'!$B649, 'EY Ireland PPM Planner 2025'!X:X,"&lt;&gt;")</f>
        <v>11</v>
      </c>
      <c r="X10" s="250">
        <f>COUNTIFS('EY Ireland PPM Planner 2025'!$B:$B,'EY Ireland PPM Planner 2025'!$B649, 'EY Ireland PPM Planner 2025'!X:X,"*Done*")</f>
        <v>9</v>
      </c>
      <c r="Y10" s="249">
        <f t="shared" si="7"/>
        <v>0.81818181818181823</v>
      </c>
      <c r="Z10" s="250">
        <f>COUNTIFS('EY Ireland PPM Planner 2025'!$B:$B,'EY Ireland PPM Planner 2025'!$B649, 'EY Ireland PPM Planner 2025'!Y:Y,"&lt;&gt;")</f>
        <v>9</v>
      </c>
      <c r="AA10" s="250">
        <f>COUNTIFS('EY Ireland PPM Planner 2025'!$B:$B,'EY Ireland PPM Planner 2025'!$B649, 'EY Ireland PPM Planner 2025'!Y:Y,"*Done*")</f>
        <v>7</v>
      </c>
      <c r="AB10" s="249">
        <f t="shared" si="8"/>
        <v>0.77777777777777779</v>
      </c>
      <c r="AC10" s="250">
        <f>COUNTIFS('EY Ireland PPM Planner 2025'!$B:$B,'EY Ireland PPM Planner 2025'!$B649, 'EY Ireland PPM Planner 2025'!Z:Z,"&lt;&gt;")</f>
        <v>10</v>
      </c>
      <c r="AD10" s="250">
        <f>COUNTIFS('EY Ireland PPM Planner 2025'!$B:$B,'EY Ireland PPM Planner 2025'!$B649, 'EY Ireland PPM Planner 2025'!Z:Z,"*Done*")</f>
        <v>8</v>
      </c>
      <c r="AE10" s="249">
        <f t="shared" si="9"/>
        <v>0.8</v>
      </c>
      <c r="AF10" s="250">
        <f>COUNTIFS('EY Ireland PPM Planner 2025'!$B:$B,'EY Ireland PPM Planner 2025'!$B649, 'EY Ireland PPM Planner 2025'!AA:AA,"&lt;&gt;")</f>
        <v>6</v>
      </c>
      <c r="AG10" s="250">
        <f>COUNTIFS('EY Ireland PPM Planner 2025'!$B:$B,'EY Ireland PPM Planner 2025'!$B649, 'EY Ireland PPM Planner 2025'!AA:AA,"*Done*")</f>
        <v>6</v>
      </c>
      <c r="AH10" s="251">
        <f t="shared" si="10"/>
        <v>1</v>
      </c>
      <c r="AI10" s="250">
        <f>COUNTIFS('EY Ireland PPM Planner 2025'!$B:$B,'EY Ireland PPM Planner 2025'!$B649, 'EY Ireland PPM Planner 2025'!AB:AB,"&lt;&gt;")</f>
        <v>8</v>
      </c>
      <c r="AJ10" s="250">
        <f>COUNTIFS('EY Ireland PPM Planner 2025'!$B:$B,'EY Ireland PPM Planner 2025'!$B649, 'EY Ireland PPM Planner 2025'!AB:AB,"*Done*")</f>
        <v>7</v>
      </c>
      <c r="AK10" s="252">
        <f t="shared" si="11"/>
        <v>0.875</v>
      </c>
    </row>
    <row r="11" spans="1:37" x14ac:dyDescent="0.35">
      <c r="A11" s="246" t="s">
        <v>993</v>
      </c>
      <c r="B11" s="242">
        <f>SUM(B5:B10)</f>
        <v>50</v>
      </c>
      <c r="C11" s="243">
        <f t="shared" ref="C11:AJ11" si="12">SUM(C5:C10)</f>
        <v>48</v>
      </c>
      <c r="D11" s="244">
        <f>C11/B11</f>
        <v>0.96</v>
      </c>
      <c r="E11" s="243">
        <f t="shared" si="12"/>
        <v>94</v>
      </c>
      <c r="F11" s="243">
        <f t="shared" si="12"/>
        <v>87</v>
      </c>
      <c r="G11" s="244">
        <f t="shared" si="1"/>
        <v>0.92553191489361697</v>
      </c>
      <c r="H11" s="243">
        <f t="shared" si="12"/>
        <v>52</v>
      </c>
      <c r="I11" s="243">
        <f t="shared" si="12"/>
        <v>44</v>
      </c>
      <c r="J11" s="244">
        <f t="shared" si="2"/>
        <v>0.84615384615384615</v>
      </c>
      <c r="K11" s="243">
        <f t="shared" si="12"/>
        <v>56</v>
      </c>
      <c r="L11" s="243">
        <f t="shared" si="12"/>
        <v>46</v>
      </c>
      <c r="M11" s="244">
        <f t="shared" si="3"/>
        <v>0.8214285714285714</v>
      </c>
      <c r="N11" s="243">
        <f t="shared" si="12"/>
        <v>76</v>
      </c>
      <c r="O11" s="243">
        <f t="shared" si="12"/>
        <v>65</v>
      </c>
      <c r="P11" s="244">
        <f t="shared" si="4"/>
        <v>0.85526315789473684</v>
      </c>
      <c r="Q11" s="243">
        <f t="shared" si="12"/>
        <v>41</v>
      </c>
      <c r="R11" s="243">
        <f t="shared" si="12"/>
        <v>35</v>
      </c>
      <c r="S11" s="244">
        <f t="shared" si="5"/>
        <v>0.85365853658536583</v>
      </c>
      <c r="T11" s="243">
        <f t="shared" si="12"/>
        <v>64</v>
      </c>
      <c r="U11" s="243">
        <f t="shared" si="12"/>
        <v>48</v>
      </c>
      <c r="V11" s="244">
        <f t="shared" si="6"/>
        <v>0.75</v>
      </c>
      <c r="W11" s="243">
        <f t="shared" si="12"/>
        <v>101</v>
      </c>
      <c r="X11" s="243">
        <f t="shared" si="12"/>
        <v>73</v>
      </c>
      <c r="Y11" s="244">
        <f t="shared" si="7"/>
        <v>0.72277227722772275</v>
      </c>
      <c r="Z11" s="243">
        <f t="shared" si="12"/>
        <v>50</v>
      </c>
      <c r="AA11" s="243">
        <f t="shared" si="12"/>
        <v>34</v>
      </c>
      <c r="AB11" s="244">
        <f t="shared" si="8"/>
        <v>0.68</v>
      </c>
      <c r="AC11" s="243">
        <f t="shared" si="12"/>
        <v>45</v>
      </c>
      <c r="AD11" s="243">
        <f t="shared" si="12"/>
        <v>31</v>
      </c>
      <c r="AE11" s="244">
        <f t="shared" si="9"/>
        <v>0.68888888888888888</v>
      </c>
      <c r="AF11" s="243">
        <f t="shared" si="12"/>
        <v>41</v>
      </c>
      <c r="AG11" s="243">
        <f t="shared" si="12"/>
        <v>27</v>
      </c>
      <c r="AH11" s="244">
        <f t="shared" si="10"/>
        <v>0.65853658536585369</v>
      </c>
      <c r="AI11" s="243">
        <f t="shared" si="12"/>
        <v>37</v>
      </c>
      <c r="AJ11" s="243">
        <f t="shared" si="12"/>
        <v>22</v>
      </c>
      <c r="AK11" s="245">
        <f t="shared" si="11"/>
        <v>0.59459459459459463</v>
      </c>
    </row>
    <row r="12" spans="1:37" x14ac:dyDescent="0.35">
      <c r="B12" s="210"/>
      <c r="C12" s="213"/>
    </row>
    <row r="13" spans="1:37" x14ac:dyDescent="0.35">
      <c r="B13" s="210"/>
      <c r="C13" s="213"/>
    </row>
    <row r="14" spans="1:37" x14ac:dyDescent="0.35">
      <c r="A14" s="253" t="s">
        <v>994</v>
      </c>
      <c r="B14" s="285" t="s">
        <v>995</v>
      </c>
      <c r="C14" s="285"/>
      <c r="D14" s="285"/>
      <c r="E14" s="285"/>
      <c r="F14" s="285"/>
      <c r="G14" s="285"/>
      <c r="H14" s="285"/>
      <c r="I14" s="285"/>
      <c r="J14" s="285"/>
      <c r="K14" s="285"/>
      <c r="L14" s="285"/>
      <c r="M14" s="285"/>
      <c r="N14" s="285"/>
      <c r="O14" s="285"/>
      <c r="P14" s="286"/>
    </row>
    <row r="15" spans="1:37" x14ac:dyDescent="0.35">
      <c r="A15" s="260" t="s">
        <v>996</v>
      </c>
      <c r="B15" s="281">
        <f>D11</f>
        <v>0.96</v>
      </c>
      <c r="C15" s="281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2"/>
    </row>
    <row r="16" spans="1:37" x14ac:dyDescent="0.35">
      <c r="A16" s="260" t="s">
        <v>974</v>
      </c>
      <c r="B16" s="281">
        <f>G11</f>
        <v>0.92553191489361697</v>
      </c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2"/>
    </row>
    <row r="17" spans="1:16" x14ac:dyDescent="0.35">
      <c r="A17" s="260" t="s">
        <v>975</v>
      </c>
      <c r="B17" s="281">
        <f>J11</f>
        <v>0.84615384615384615</v>
      </c>
      <c r="C17" s="281"/>
      <c r="D17" s="281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2"/>
    </row>
    <row r="18" spans="1:16" x14ac:dyDescent="0.35">
      <c r="A18" s="260" t="s">
        <v>976</v>
      </c>
      <c r="B18" s="281">
        <f>M11</f>
        <v>0.8214285714285714</v>
      </c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2"/>
    </row>
    <row r="19" spans="1:16" x14ac:dyDescent="0.35">
      <c r="A19" s="260" t="s">
        <v>22</v>
      </c>
      <c r="B19" s="281">
        <f>P11</f>
        <v>0.85526315789473684</v>
      </c>
      <c r="C19" s="281"/>
      <c r="D19" s="281"/>
      <c r="E19" s="281"/>
      <c r="F19" s="281"/>
      <c r="G19" s="281"/>
      <c r="H19" s="281"/>
      <c r="I19" s="281"/>
      <c r="J19" s="281"/>
      <c r="K19" s="281"/>
      <c r="L19" s="281"/>
      <c r="M19" s="281"/>
      <c r="N19" s="281"/>
      <c r="O19" s="281"/>
      <c r="P19" s="282"/>
    </row>
    <row r="20" spans="1:16" x14ac:dyDescent="0.35">
      <c r="A20" s="260" t="s">
        <v>977</v>
      </c>
      <c r="B20" s="281">
        <f>S11</f>
        <v>0.85365853658536583</v>
      </c>
      <c r="C20" s="281"/>
      <c r="D20" s="281"/>
      <c r="E20" s="281"/>
      <c r="F20" s="281"/>
      <c r="G20" s="281"/>
      <c r="H20" s="281"/>
      <c r="I20" s="281"/>
      <c r="J20" s="281"/>
      <c r="K20" s="281"/>
      <c r="L20" s="281"/>
      <c r="M20" s="281"/>
      <c r="N20" s="281"/>
      <c r="O20" s="281"/>
      <c r="P20" s="282"/>
    </row>
    <row r="21" spans="1:16" x14ac:dyDescent="0.35">
      <c r="A21" s="260" t="s">
        <v>978</v>
      </c>
      <c r="B21" s="281">
        <f>V11</f>
        <v>0.75</v>
      </c>
      <c r="C21" s="281"/>
      <c r="D21" s="281"/>
      <c r="E21" s="281"/>
      <c r="F21" s="281"/>
      <c r="G21" s="281"/>
      <c r="H21" s="281"/>
      <c r="I21" s="281"/>
      <c r="J21" s="281"/>
      <c r="K21" s="281"/>
      <c r="L21" s="281"/>
      <c r="M21" s="281"/>
      <c r="N21" s="281"/>
      <c r="O21" s="281"/>
      <c r="P21" s="282"/>
    </row>
    <row r="22" spans="1:16" x14ac:dyDescent="0.35">
      <c r="A22" s="260" t="s">
        <v>979</v>
      </c>
      <c r="B22" s="281">
        <f>Y11</f>
        <v>0.72277227722772275</v>
      </c>
      <c r="C22" s="281"/>
      <c r="D22" s="281"/>
      <c r="E22" s="281"/>
      <c r="F22" s="281"/>
      <c r="G22" s="281"/>
      <c r="H22" s="281"/>
      <c r="I22" s="281"/>
      <c r="J22" s="281"/>
      <c r="K22" s="281"/>
      <c r="L22" s="281"/>
      <c r="M22" s="281"/>
      <c r="N22" s="281"/>
      <c r="O22" s="281"/>
      <c r="P22" s="282"/>
    </row>
    <row r="23" spans="1:16" x14ac:dyDescent="0.35">
      <c r="A23" s="260" t="s">
        <v>980</v>
      </c>
      <c r="B23" s="281">
        <f>AB11</f>
        <v>0.68</v>
      </c>
      <c r="C23" s="281"/>
      <c r="D23" s="281"/>
      <c r="E23" s="281"/>
      <c r="F23" s="281"/>
      <c r="G23" s="281"/>
      <c r="H23" s="281"/>
      <c r="I23" s="281"/>
      <c r="J23" s="281"/>
      <c r="K23" s="281"/>
      <c r="L23" s="281"/>
      <c r="M23" s="281"/>
      <c r="N23" s="281"/>
      <c r="O23" s="281"/>
      <c r="P23" s="282"/>
    </row>
    <row r="24" spans="1:16" x14ac:dyDescent="0.35">
      <c r="A24" s="260" t="s">
        <v>981</v>
      </c>
      <c r="B24" s="281">
        <f>AE11</f>
        <v>0.68888888888888888</v>
      </c>
      <c r="C24" s="281"/>
      <c r="D24" s="281"/>
      <c r="E24" s="281"/>
      <c r="F24" s="281"/>
      <c r="G24" s="281"/>
      <c r="H24" s="281"/>
      <c r="I24" s="281"/>
      <c r="J24" s="281"/>
      <c r="K24" s="281"/>
      <c r="L24" s="281"/>
      <c r="M24" s="281"/>
      <c r="N24" s="281"/>
      <c r="O24" s="281"/>
      <c r="P24" s="282"/>
    </row>
    <row r="25" spans="1:16" x14ac:dyDescent="0.35">
      <c r="A25" s="260" t="s">
        <v>982</v>
      </c>
      <c r="B25" s="281">
        <f>AH11</f>
        <v>0.65853658536585369</v>
      </c>
      <c r="C25" s="281"/>
      <c r="D25" s="281"/>
      <c r="E25" s="281"/>
      <c r="F25" s="281"/>
      <c r="G25" s="281"/>
      <c r="H25" s="281"/>
      <c r="I25" s="281"/>
      <c r="J25" s="281"/>
      <c r="K25" s="281"/>
      <c r="L25" s="281"/>
      <c r="M25" s="281"/>
      <c r="N25" s="281"/>
      <c r="O25" s="281"/>
      <c r="P25" s="282"/>
    </row>
    <row r="26" spans="1:16" x14ac:dyDescent="0.35">
      <c r="A26" s="261" t="s">
        <v>983</v>
      </c>
      <c r="B26" s="283">
        <f>AK11</f>
        <v>0.59459459459459463</v>
      </c>
      <c r="C26" s="283"/>
      <c r="D26" s="283"/>
      <c r="E26" s="283"/>
      <c r="F26" s="283"/>
      <c r="G26" s="283"/>
      <c r="H26" s="283"/>
      <c r="I26" s="283"/>
      <c r="J26" s="283"/>
      <c r="K26" s="283"/>
      <c r="L26" s="283"/>
      <c r="M26" s="283"/>
      <c r="N26" s="283"/>
      <c r="O26" s="283"/>
      <c r="P26" s="284"/>
    </row>
    <row r="29" spans="1:16" x14ac:dyDescent="0.35">
      <c r="C29" s="212"/>
      <c r="D29" s="212"/>
    </row>
    <row r="30" spans="1:16" ht="17" x14ac:dyDescent="0.4">
      <c r="B30" s="262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</row>
    <row r="31" spans="1:16" x14ac:dyDescent="0.35">
      <c r="A31" s="263" t="s">
        <v>997</v>
      </c>
      <c r="B31" s="275">
        <f>AVERAGE(B15:P26)</f>
        <v>0.7797356977527663</v>
      </c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</row>
  </sheetData>
  <sheetProtection sheet="1" objects="1" scenarios="1"/>
  <mergeCells count="27">
    <mergeCell ref="B23:P23"/>
    <mergeCell ref="Q3:S3"/>
    <mergeCell ref="B14:P14"/>
    <mergeCell ref="AI3:AK3"/>
    <mergeCell ref="AF3:AH3"/>
    <mergeCell ref="B3:D3"/>
    <mergeCell ref="E3:G3"/>
    <mergeCell ref="T3:V3"/>
    <mergeCell ref="W3:Y3"/>
    <mergeCell ref="Z3:AB3"/>
    <mergeCell ref="AC3:AE3"/>
    <mergeCell ref="B31:P31"/>
    <mergeCell ref="A3:A4"/>
    <mergeCell ref="H3:J3"/>
    <mergeCell ref="K3:M3"/>
    <mergeCell ref="N3:P3"/>
    <mergeCell ref="B24:P24"/>
    <mergeCell ref="B25:P25"/>
    <mergeCell ref="B26:P26"/>
    <mergeCell ref="B15:P15"/>
    <mergeCell ref="B16:P16"/>
    <mergeCell ref="B17:P17"/>
    <mergeCell ref="B18:P18"/>
    <mergeCell ref="B19:P19"/>
    <mergeCell ref="B20:P20"/>
    <mergeCell ref="B21:P21"/>
    <mergeCell ref="B22:P22"/>
  </mergeCells>
  <conditionalFormatting sqref="B15:B2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{38B2C49F-024E-470D-9FAA-E1A02FDE14B8}</x14:id>
        </ext>
      </extLst>
    </cfRule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{25867011-DA3D-4524-9988-AA8B2ED77A54}</x14:id>
        </ext>
      </extLst>
    </cfRule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{B527D838-A5ED-4D7E-A173-107537C0DAF5}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{E2259BBA-F426-4EE5-90C6-3EE5FA6C691D}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{67DF68A5-59FB-4C25-86E8-A2561E33038B}</x14:id>
        </ext>
      </extLst>
    </cfRule>
  </conditionalFormatting>
  <conditionalFormatting sqref="B3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{B67F9E06-8205-4EC4-8F44-EC9580F334B5}</x14:id>
        </ext>
      </extLst>
    </cfRule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{B2D7363D-E3A8-4533-A7EF-3DE94F37CECE}</x14:id>
        </ext>
      </extLst>
    </cfRule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{37AFA5F0-10CA-46D5-837D-D633D303EE17}</x14:id>
        </ext>
      </extLst>
    </cfRule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{45905A3C-70A8-4C08-BD63-0D03FEE36EF3}</x14:id>
        </ext>
      </extLst>
    </cfRule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{84E6C1B6-AC67-4239-A896-7A5E86012E00}</x14:id>
        </ext>
      </extLst>
    </cfRule>
  </conditionalFormatting>
  <conditionalFormatting sqref="B31:P31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{FBBD2B21-B26A-4C78-B307-4DFC229C5AA7}</x14:id>
        </ext>
      </extLs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{156F7D27-67C6-477A-817E-79A760EF39D6}</x14:id>
        </ext>
      </extLst>
    </cfRule>
  </conditionalFormatting>
  <conditionalFormatting sqref="D5:D11">
    <cfRule type="iconSet" priority="35">
      <iconSet iconSet="3Arrows">
        <cfvo type="percent" val="0"/>
        <cfvo type="percent" val="33"/>
        <cfvo type="percent" val="67"/>
      </iconSet>
    </cfRule>
  </conditionalFormatting>
  <conditionalFormatting sqref="G5:G11">
    <cfRule type="iconSet" priority="34">
      <iconSet iconSet="3Arrows">
        <cfvo type="percent" val="0"/>
        <cfvo type="percent" val="33"/>
        <cfvo type="percent" val="67"/>
      </iconSet>
    </cfRule>
  </conditionalFormatting>
  <conditionalFormatting sqref="J5:J10">
    <cfRule type="iconSet" priority="32">
      <iconSet iconSet="3Arrows">
        <cfvo type="percent" val="0"/>
        <cfvo type="percent" val="33"/>
        <cfvo type="percent" val="67"/>
      </iconSet>
    </cfRule>
  </conditionalFormatting>
  <conditionalFormatting sqref="J11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sqref="M5:M10">
    <cfRule type="iconSet" priority="31">
      <iconSet iconSet="3Arrows">
        <cfvo type="percent" val="0"/>
        <cfvo type="percent" val="33"/>
        <cfvo type="percent" val="67"/>
      </iconSet>
    </cfRule>
  </conditionalFormatting>
  <conditionalFormatting sqref="M11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P5:P10">
    <cfRule type="iconSet" priority="30">
      <iconSet iconSet="3Arrows">
        <cfvo type="percent" val="0"/>
        <cfvo type="percent" val="33"/>
        <cfvo type="percent" val="67"/>
      </iconSet>
    </cfRule>
  </conditionalFormatting>
  <conditionalFormatting sqref="P11"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sqref="S5:S10">
    <cfRule type="iconSet" priority="29">
      <iconSet iconSet="3Arrows">
        <cfvo type="percent" val="0"/>
        <cfvo type="percent" val="33"/>
        <cfvo type="percent" val="67"/>
      </iconSet>
    </cfRule>
  </conditionalFormatting>
  <conditionalFormatting sqref="S11">
    <cfRule type="iconSet" priority="19">
      <iconSet iconSet="3Arrows">
        <cfvo type="percent" val="0"/>
        <cfvo type="percent" val="33"/>
        <cfvo type="percent" val="67"/>
      </iconSet>
    </cfRule>
  </conditionalFormatting>
  <conditionalFormatting sqref="V5:V10">
    <cfRule type="iconSet" priority="28">
      <iconSet iconSet="3Arrows">
        <cfvo type="percent" val="0"/>
        <cfvo type="percent" val="33"/>
        <cfvo type="percent" val="67"/>
      </iconSet>
    </cfRule>
  </conditionalFormatting>
  <conditionalFormatting sqref="V11"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Y5:Y10">
    <cfRule type="iconSet" priority="27">
      <iconSet iconSet="3Arrows">
        <cfvo type="percent" val="0"/>
        <cfvo type="percent" val="33"/>
        <cfvo type="percent" val="67"/>
      </iconSet>
    </cfRule>
  </conditionalFormatting>
  <conditionalFormatting sqref="Y11">
    <cfRule type="iconSet" priority="17">
      <iconSet iconSet="3Arrows">
        <cfvo type="percent" val="0"/>
        <cfvo type="percent" val="33"/>
        <cfvo type="percent" val="67"/>
      </iconSet>
    </cfRule>
  </conditionalFormatting>
  <conditionalFormatting sqref="AB5:AB10">
    <cfRule type="iconSet" priority="26">
      <iconSet iconSet="3Arrows">
        <cfvo type="percent" val="0"/>
        <cfvo type="percent" val="33"/>
        <cfvo type="percent" val="67"/>
      </iconSet>
    </cfRule>
  </conditionalFormatting>
  <conditionalFormatting sqref="AB11">
    <cfRule type="iconSet" priority="16">
      <iconSet iconSet="3Arrows">
        <cfvo type="percent" val="0"/>
        <cfvo type="percent" val="33"/>
        <cfvo type="percent" val="67"/>
      </iconSet>
    </cfRule>
  </conditionalFormatting>
  <conditionalFormatting sqref="AE5:AE10">
    <cfRule type="iconSet" priority="25">
      <iconSet iconSet="3Arrows">
        <cfvo type="percent" val="0"/>
        <cfvo type="percent" val="33"/>
        <cfvo type="percent" val="67"/>
      </iconSet>
    </cfRule>
  </conditionalFormatting>
  <conditionalFormatting sqref="AE11"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AH5:AH10"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AH11">
    <cfRule type="iconSet" priority="14">
      <iconSet iconSet="3Arrows">
        <cfvo type="percent" val="0"/>
        <cfvo type="percent" val="33"/>
        <cfvo type="percent" val="67"/>
      </iconSet>
    </cfRule>
  </conditionalFormatting>
  <conditionalFormatting sqref="AK5:AK10">
    <cfRule type="iconSet" priority="23">
      <iconSet iconSet="3Arrows">
        <cfvo type="percent" val="0"/>
        <cfvo type="percent" val="33"/>
        <cfvo type="percent" val="67"/>
      </iconSet>
    </cfRule>
  </conditionalFormatting>
  <conditionalFormatting sqref="AK11">
    <cfRule type="iconSet" priority="1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B2C49F-024E-470D-9FAA-E1A02FDE14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5867011-DA3D-4524-9988-AA8B2ED77A5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B527D838-A5ED-4D7E-A173-107537C0DAF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E2259BBA-F426-4EE5-90C6-3EE5FA6C69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7DF68A5-59FB-4C25-86E8-A2561E3303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B15:B26</xm:sqref>
        </x14:conditionalFormatting>
        <x14:conditionalFormatting xmlns:xm="http://schemas.microsoft.com/office/excel/2006/main">
          <x14:cfRule type="dataBar" id="{B67F9E06-8205-4EC4-8F44-EC9580F334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D7363D-E3A8-4533-A7EF-3DE94F37CEC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37AFA5F0-10CA-46D5-837D-D633D303EE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905A3C-70A8-4C08-BD63-0D03FEE36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4E6C1B6-AC67-4239-A896-7A5E86012E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B31</xm:sqref>
        </x14:conditionalFormatting>
        <x14:conditionalFormatting xmlns:xm="http://schemas.microsoft.com/office/excel/2006/main">
          <x14:cfRule type="dataBar" id="{FBBD2B21-B26A-4C78-B307-4DFC229C5A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156F7D27-67C6-477A-817E-79A760EF3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B31:P31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6B955-F2B0-4313-B8B3-1A1916265C6B}">
  <dimension ref="A2:M89"/>
  <sheetViews>
    <sheetView workbookViewId="0">
      <selection activeCell="A108" sqref="A1:XFD108"/>
    </sheetView>
  </sheetViews>
  <sheetFormatPr defaultRowHeight="14.5" x14ac:dyDescent="0.35"/>
  <cols>
    <col min="1" max="1" width="48.7265625" customWidth="1"/>
    <col min="2" max="2" width="21.453125" customWidth="1"/>
    <col min="3" max="3" width="17.453125" customWidth="1"/>
    <col min="4" max="4" width="14.81640625" bestFit="1" customWidth="1"/>
    <col min="5" max="5" width="24.453125" style="12" bestFit="1" customWidth="1"/>
    <col min="9" max="9" width="43" bestFit="1" customWidth="1"/>
    <col min="10" max="10" width="16.26953125" hidden="1" customWidth="1"/>
    <col min="11" max="11" width="13.453125" bestFit="1" customWidth="1"/>
    <col min="12" max="12" width="14.81640625" bestFit="1" customWidth="1"/>
    <col min="13" max="13" width="24.453125" style="12" bestFit="1" customWidth="1"/>
  </cols>
  <sheetData>
    <row r="2" spans="1:13" x14ac:dyDescent="0.35">
      <c r="A2" s="11" t="s">
        <v>755</v>
      </c>
      <c r="I2" s="11" t="s">
        <v>134</v>
      </c>
    </row>
    <row r="4" spans="1:13" x14ac:dyDescent="0.35">
      <c r="A4" s="13" t="s">
        <v>998</v>
      </c>
      <c r="B4" s="13" t="s">
        <v>999</v>
      </c>
      <c r="C4" s="13" t="s">
        <v>1000</v>
      </c>
      <c r="D4" s="13" t="s">
        <v>1001</v>
      </c>
      <c r="E4" s="14" t="s">
        <v>1002</v>
      </c>
      <c r="I4" s="13" t="s">
        <v>998</v>
      </c>
      <c r="J4" s="13" t="s">
        <v>999</v>
      </c>
      <c r="K4" s="13" t="s">
        <v>1000</v>
      </c>
      <c r="L4" s="13" t="s">
        <v>1001</v>
      </c>
      <c r="M4" s="14" t="s">
        <v>1002</v>
      </c>
    </row>
    <row r="5" spans="1:13" x14ac:dyDescent="0.35">
      <c r="A5" s="15" t="s">
        <v>137</v>
      </c>
      <c r="B5" s="16" t="s">
        <v>1003</v>
      </c>
      <c r="C5" s="16" t="s">
        <v>1004</v>
      </c>
      <c r="D5" s="16">
        <v>12</v>
      </c>
      <c r="E5" s="17">
        <v>3240</v>
      </c>
      <c r="I5" s="15" t="s">
        <v>137</v>
      </c>
      <c r="J5" s="16" t="s">
        <v>1005</v>
      </c>
      <c r="K5" s="16" t="s">
        <v>1004</v>
      </c>
      <c r="L5" s="16">
        <v>12</v>
      </c>
      <c r="M5" s="18" t="s">
        <v>1006</v>
      </c>
    </row>
    <row r="6" spans="1:13" x14ac:dyDescent="0.35">
      <c r="A6" s="15" t="s">
        <v>258</v>
      </c>
      <c r="B6" s="16" t="s">
        <v>1003</v>
      </c>
      <c r="C6" s="16" t="s">
        <v>1004</v>
      </c>
      <c r="D6" s="16">
        <v>12</v>
      </c>
      <c r="E6" s="17">
        <v>1020</v>
      </c>
      <c r="I6" s="15" t="s">
        <v>146</v>
      </c>
      <c r="J6" s="16" t="s">
        <v>1005</v>
      </c>
      <c r="K6" s="16" t="s">
        <v>1004</v>
      </c>
      <c r="L6" s="16">
        <v>6</v>
      </c>
      <c r="M6" s="17">
        <v>960</v>
      </c>
    </row>
    <row r="7" spans="1:13" x14ac:dyDescent="0.35">
      <c r="A7" s="15" t="s">
        <v>277</v>
      </c>
      <c r="B7" s="16" t="s">
        <v>1007</v>
      </c>
      <c r="C7" s="16" t="s">
        <v>1004</v>
      </c>
      <c r="D7" s="16">
        <v>6</v>
      </c>
      <c r="E7" s="17">
        <v>960</v>
      </c>
      <c r="I7" s="15" t="s">
        <v>41</v>
      </c>
      <c r="J7" s="16" t="s">
        <v>1005</v>
      </c>
      <c r="K7" s="16" t="s">
        <v>1004</v>
      </c>
      <c r="L7" s="16">
        <v>6</v>
      </c>
      <c r="M7" s="17">
        <v>960</v>
      </c>
    </row>
    <row r="8" spans="1:13" x14ac:dyDescent="0.35">
      <c r="A8" s="15" t="s">
        <v>283</v>
      </c>
      <c r="B8" s="16" t="s">
        <v>1008</v>
      </c>
      <c r="C8" s="16" t="s">
        <v>1004</v>
      </c>
      <c r="D8" s="16">
        <v>12</v>
      </c>
      <c r="E8" s="17">
        <v>240</v>
      </c>
      <c r="I8" s="15" t="s">
        <v>50</v>
      </c>
      <c r="J8" s="16" t="s">
        <v>1005</v>
      </c>
      <c r="K8" s="16" t="s">
        <v>1004</v>
      </c>
      <c r="L8" s="16">
        <v>6</v>
      </c>
      <c r="M8" s="17">
        <v>240</v>
      </c>
    </row>
    <row r="9" spans="1:13" x14ac:dyDescent="0.35">
      <c r="A9" s="15" t="s">
        <v>300</v>
      </c>
      <c r="B9" s="16" t="s">
        <v>1008</v>
      </c>
      <c r="C9" s="16" t="s">
        <v>1004</v>
      </c>
      <c r="D9" s="16">
        <v>6</v>
      </c>
      <c r="E9" s="17">
        <v>2400</v>
      </c>
      <c r="I9" s="15" t="s">
        <v>85</v>
      </c>
      <c r="J9" s="16" t="s">
        <v>1005</v>
      </c>
      <c r="K9" s="16" t="s">
        <v>1004</v>
      </c>
      <c r="L9" s="16">
        <v>12</v>
      </c>
      <c r="M9" s="17">
        <v>120</v>
      </c>
    </row>
    <row r="10" spans="1:13" x14ac:dyDescent="0.35">
      <c r="A10" s="15" t="s">
        <v>313</v>
      </c>
      <c r="B10" s="16" t="s">
        <v>1008</v>
      </c>
      <c r="C10" s="16" t="s">
        <v>1004</v>
      </c>
      <c r="D10" s="16">
        <v>6</v>
      </c>
      <c r="E10" s="17">
        <v>2400</v>
      </c>
      <c r="I10" s="15" t="s">
        <v>159</v>
      </c>
      <c r="J10" s="16"/>
      <c r="K10" s="16" t="s">
        <v>1009</v>
      </c>
      <c r="L10" s="16">
        <v>12</v>
      </c>
      <c r="M10" s="17">
        <v>3312</v>
      </c>
    </row>
    <row r="11" spans="1:13" x14ac:dyDescent="0.35">
      <c r="A11" s="15" t="s">
        <v>50</v>
      </c>
      <c r="B11" s="16" t="s">
        <v>1008</v>
      </c>
      <c r="C11" s="16" t="s">
        <v>1004</v>
      </c>
      <c r="D11" s="16">
        <v>6</v>
      </c>
      <c r="E11" s="17">
        <v>13200</v>
      </c>
      <c r="I11" s="15" t="s">
        <v>117</v>
      </c>
      <c r="J11" s="16"/>
      <c r="K11" s="16" t="s">
        <v>1010</v>
      </c>
      <c r="L11" s="16"/>
      <c r="M11" s="19" t="s">
        <v>1006</v>
      </c>
    </row>
    <row r="12" spans="1:13" x14ac:dyDescent="0.35">
      <c r="A12" s="15" t="s">
        <v>356</v>
      </c>
      <c r="B12" s="16" t="s">
        <v>1008</v>
      </c>
      <c r="C12" s="16" t="s">
        <v>1004</v>
      </c>
      <c r="D12" s="16">
        <v>6</v>
      </c>
      <c r="E12" s="17">
        <v>0</v>
      </c>
      <c r="I12" s="15" t="s">
        <v>1011</v>
      </c>
      <c r="J12" s="16"/>
      <c r="K12" s="16" t="s">
        <v>1012</v>
      </c>
      <c r="L12" s="16"/>
      <c r="M12" s="17">
        <v>750</v>
      </c>
    </row>
    <row r="13" spans="1:13" x14ac:dyDescent="0.35">
      <c r="A13" s="15" t="s">
        <v>363</v>
      </c>
      <c r="B13" s="16" t="s">
        <v>1013</v>
      </c>
      <c r="C13" s="16" t="s">
        <v>1004</v>
      </c>
      <c r="D13" s="16">
        <v>6</v>
      </c>
      <c r="E13" s="17">
        <v>960</v>
      </c>
      <c r="I13" s="15" t="s">
        <v>1014</v>
      </c>
      <c r="J13" s="16"/>
      <c r="K13" s="16" t="s">
        <v>615</v>
      </c>
      <c r="L13" s="16"/>
      <c r="M13" s="18" t="s">
        <v>1015</v>
      </c>
    </row>
    <row r="14" spans="1:13" x14ac:dyDescent="0.35">
      <c r="A14" s="15" t="s">
        <v>85</v>
      </c>
      <c r="B14" s="16" t="s">
        <v>1007</v>
      </c>
      <c r="C14" s="16" t="s">
        <v>1004</v>
      </c>
      <c r="D14" s="16">
        <v>12</v>
      </c>
      <c r="E14" s="17">
        <v>300</v>
      </c>
      <c r="I14" s="15" t="s">
        <v>580</v>
      </c>
      <c r="J14" s="16"/>
      <c r="K14" s="16" t="s">
        <v>702</v>
      </c>
      <c r="L14" s="16"/>
      <c r="M14" s="20">
        <v>2100</v>
      </c>
    </row>
    <row r="15" spans="1:13" x14ac:dyDescent="0.35">
      <c r="A15" s="15" t="s">
        <v>1016</v>
      </c>
      <c r="B15" s="16" t="s">
        <v>1008</v>
      </c>
      <c r="C15" s="16" t="s">
        <v>1004</v>
      </c>
      <c r="D15" s="16">
        <v>6</v>
      </c>
      <c r="E15" s="17">
        <v>240</v>
      </c>
      <c r="I15" s="15" t="s">
        <v>1017</v>
      </c>
      <c r="J15" s="16"/>
      <c r="K15" s="16" t="s">
        <v>105</v>
      </c>
      <c r="L15" s="16"/>
      <c r="M15" s="20">
        <v>634</v>
      </c>
    </row>
    <row r="16" spans="1:13" x14ac:dyDescent="0.35">
      <c r="A16" s="15" t="s">
        <v>1018</v>
      </c>
      <c r="B16" s="16" t="s">
        <v>1008</v>
      </c>
      <c r="C16" s="16" t="s">
        <v>1004</v>
      </c>
      <c r="D16" s="16">
        <v>6</v>
      </c>
      <c r="E16" s="17">
        <v>1560</v>
      </c>
      <c r="I16" s="15" t="s">
        <v>1019</v>
      </c>
      <c r="J16" s="16"/>
      <c r="K16" s="16" t="s">
        <v>1004</v>
      </c>
      <c r="L16" s="16"/>
      <c r="M16" s="17">
        <v>520</v>
      </c>
    </row>
    <row r="17" spans="1:13" x14ac:dyDescent="0.35">
      <c r="A17" s="15" t="s">
        <v>516</v>
      </c>
      <c r="B17" s="16" t="s">
        <v>1008</v>
      </c>
      <c r="C17" s="16" t="s">
        <v>1004</v>
      </c>
      <c r="D17" s="16">
        <v>6</v>
      </c>
      <c r="E17" s="17">
        <v>1560</v>
      </c>
      <c r="I17" s="15" t="s">
        <v>1020</v>
      </c>
      <c r="J17" s="16"/>
      <c r="K17" s="16" t="s">
        <v>1004</v>
      </c>
      <c r="L17" s="16">
        <v>3</v>
      </c>
      <c r="M17" s="18" t="s">
        <v>1006</v>
      </c>
    </row>
    <row r="18" spans="1:13" x14ac:dyDescent="0.35">
      <c r="A18" s="15" t="s">
        <v>546</v>
      </c>
      <c r="B18" s="16" t="s">
        <v>1003</v>
      </c>
      <c r="C18" s="16" t="s">
        <v>1004</v>
      </c>
      <c r="D18" s="16">
        <v>3</v>
      </c>
      <c r="E18" s="17">
        <v>1920</v>
      </c>
      <c r="I18" s="16" t="s">
        <v>1021</v>
      </c>
      <c r="J18" s="16"/>
      <c r="K18" s="16" t="s">
        <v>615</v>
      </c>
      <c r="L18" s="16"/>
      <c r="M18" s="21" t="s">
        <v>1022</v>
      </c>
    </row>
    <row r="19" spans="1:13" x14ac:dyDescent="0.35">
      <c r="A19" s="15" t="s">
        <v>1023</v>
      </c>
      <c r="B19" s="16" t="s">
        <v>1003</v>
      </c>
      <c r="C19" s="16" t="s">
        <v>1004</v>
      </c>
      <c r="D19" s="16">
        <v>12</v>
      </c>
      <c r="E19" s="17">
        <v>360</v>
      </c>
      <c r="I19" s="15" t="s">
        <v>1024</v>
      </c>
      <c r="J19" s="16"/>
      <c r="K19" s="16" t="s">
        <v>1004</v>
      </c>
      <c r="L19" s="16">
        <v>6</v>
      </c>
      <c r="M19" s="17">
        <v>3060</v>
      </c>
    </row>
    <row r="20" spans="1:13" x14ac:dyDescent="0.35">
      <c r="A20" s="15" t="s">
        <v>1025</v>
      </c>
      <c r="B20" s="16" t="s">
        <v>1003</v>
      </c>
      <c r="C20" s="16" t="s">
        <v>1004</v>
      </c>
      <c r="D20" s="16">
        <v>12</v>
      </c>
      <c r="E20" s="17">
        <v>960</v>
      </c>
      <c r="I20" s="15" t="s">
        <v>1026</v>
      </c>
      <c r="J20" s="16"/>
      <c r="K20" s="16" t="s">
        <v>105</v>
      </c>
      <c r="L20" s="16"/>
      <c r="M20" s="294">
        <v>585</v>
      </c>
    </row>
    <row r="21" spans="1:13" x14ac:dyDescent="0.35">
      <c r="A21" s="15" t="s">
        <v>1027</v>
      </c>
      <c r="B21" s="16" t="s">
        <v>1008</v>
      </c>
      <c r="C21" s="16" t="s">
        <v>1004</v>
      </c>
      <c r="D21" s="16">
        <v>6</v>
      </c>
      <c r="E21" s="17">
        <v>1440</v>
      </c>
      <c r="I21" s="15" t="s">
        <v>1028</v>
      </c>
      <c r="J21" s="16"/>
      <c r="K21" s="16" t="s">
        <v>105</v>
      </c>
      <c r="L21" s="16"/>
      <c r="M21" s="296"/>
    </row>
    <row r="22" spans="1:13" x14ac:dyDescent="0.35">
      <c r="A22" s="23" t="s">
        <v>1029</v>
      </c>
      <c r="B22" s="16" t="s">
        <v>1008</v>
      </c>
      <c r="C22" s="16" t="s">
        <v>1004</v>
      </c>
      <c r="D22" s="16">
        <v>6</v>
      </c>
      <c r="E22" s="24">
        <v>0</v>
      </c>
      <c r="I22" s="13" t="s">
        <v>993</v>
      </c>
      <c r="J22" s="13"/>
      <c r="K22" s="13"/>
      <c r="L22" s="13"/>
      <c r="M22" s="22">
        <f>SUM(M5:M21)</f>
        <v>13241</v>
      </c>
    </row>
    <row r="23" spans="1:13" x14ac:dyDescent="0.35">
      <c r="A23" s="15" t="s">
        <v>1030</v>
      </c>
      <c r="B23" s="16" t="s">
        <v>1008</v>
      </c>
      <c r="C23" s="16" t="s">
        <v>1004</v>
      </c>
      <c r="D23" s="16">
        <v>6</v>
      </c>
      <c r="E23" s="17">
        <v>480</v>
      </c>
    </row>
    <row r="24" spans="1:13" x14ac:dyDescent="0.35">
      <c r="A24" s="15" t="s">
        <v>1031</v>
      </c>
      <c r="B24" s="16" t="s">
        <v>1013</v>
      </c>
      <c r="C24" s="16" t="s">
        <v>1004</v>
      </c>
      <c r="D24" s="16">
        <v>6</v>
      </c>
      <c r="E24" s="17">
        <v>480</v>
      </c>
      <c r="I24" s="11" t="s">
        <v>781</v>
      </c>
    </row>
    <row r="25" spans="1:13" x14ac:dyDescent="0.35">
      <c r="A25" s="15" t="s">
        <v>1032</v>
      </c>
      <c r="B25" s="16" t="s">
        <v>1013</v>
      </c>
      <c r="C25" s="16" t="s">
        <v>1004</v>
      </c>
      <c r="D25" s="16">
        <v>6</v>
      </c>
      <c r="E25" s="17">
        <v>480</v>
      </c>
    </row>
    <row r="26" spans="1:13" x14ac:dyDescent="0.35">
      <c r="A26" s="15" t="s">
        <v>1033</v>
      </c>
      <c r="B26" s="16" t="s">
        <v>1034</v>
      </c>
      <c r="C26" s="16" t="s">
        <v>1004</v>
      </c>
      <c r="D26" s="16">
        <v>12</v>
      </c>
      <c r="E26" s="24">
        <v>120</v>
      </c>
      <c r="I26" s="13" t="s">
        <v>998</v>
      </c>
      <c r="J26" s="13" t="s">
        <v>999</v>
      </c>
      <c r="K26" s="13" t="s">
        <v>1000</v>
      </c>
      <c r="L26" s="13" t="s">
        <v>1001</v>
      </c>
      <c r="M26" s="14" t="s">
        <v>1002</v>
      </c>
    </row>
    <row r="27" spans="1:13" x14ac:dyDescent="0.35">
      <c r="A27" s="15" t="s">
        <v>1035</v>
      </c>
      <c r="B27" s="16" t="s">
        <v>1003</v>
      </c>
      <c r="C27" s="16" t="s">
        <v>1004</v>
      </c>
      <c r="D27" s="16">
        <v>12</v>
      </c>
      <c r="E27" s="17">
        <v>120</v>
      </c>
      <c r="I27" s="15" t="s">
        <v>137</v>
      </c>
      <c r="J27" s="16" t="s">
        <v>1005</v>
      </c>
      <c r="K27" s="16" t="s">
        <v>1004</v>
      </c>
      <c r="L27" s="16">
        <v>12</v>
      </c>
      <c r="M27" s="18" t="s">
        <v>1006</v>
      </c>
    </row>
    <row r="28" spans="1:13" x14ac:dyDescent="0.35">
      <c r="A28" s="15" t="s">
        <v>1036</v>
      </c>
      <c r="B28" s="16" t="s">
        <v>1003</v>
      </c>
      <c r="C28" s="16" t="s">
        <v>1004</v>
      </c>
      <c r="D28" s="16">
        <v>3</v>
      </c>
      <c r="E28" s="17">
        <v>1200</v>
      </c>
      <c r="I28" s="15" t="s">
        <v>41</v>
      </c>
      <c r="J28" s="16" t="s">
        <v>1005</v>
      </c>
      <c r="K28" s="16" t="s">
        <v>1004</v>
      </c>
      <c r="L28" s="16">
        <v>6</v>
      </c>
      <c r="M28" s="289">
        <v>1680</v>
      </c>
    </row>
    <row r="29" spans="1:13" x14ac:dyDescent="0.35">
      <c r="A29" s="15" t="s">
        <v>1037</v>
      </c>
      <c r="B29" s="15" t="s">
        <v>1013</v>
      </c>
      <c r="C29" s="23" t="s">
        <v>1004</v>
      </c>
      <c r="D29" s="23">
        <v>6</v>
      </c>
      <c r="E29" s="24">
        <v>960</v>
      </c>
      <c r="I29" s="15" t="s">
        <v>50</v>
      </c>
      <c r="J29" s="16" t="s">
        <v>1005</v>
      </c>
      <c r="K29" s="16" t="s">
        <v>1004</v>
      </c>
      <c r="L29" s="16">
        <v>6</v>
      </c>
      <c r="M29" s="290"/>
    </row>
    <row r="30" spans="1:13" x14ac:dyDescent="0.35">
      <c r="A30" s="15" t="s">
        <v>720</v>
      </c>
      <c r="B30" s="16" t="s">
        <v>1038</v>
      </c>
      <c r="C30" s="16" t="s">
        <v>1039</v>
      </c>
      <c r="D30" s="16">
        <v>3</v>
      </c>
      <c r="E30" s="20">
        <v>2300</v>
      </c>
      <c r="I30" s="15" t="s">
        <v>1040</v>
      </c>
      <c r="J30" s="16"/>
      <c r="K30" s="16" t="s">
        <v>1041</v>
      </c>
      <c r="L30" s="16">
        <v>12</v>
      </c>
      <c r="M30" s="19" t="s">
        <v>1006</v>
      </c>
    </row>
    <row r="31" spans="1:13" x14ac:dyDescent="0.35">
      <c r="A31" s="15" t="s">
        <v>291</v>
      </c>
      <c r="B31" s="16" t="s">
        <v>1042</v>
      </c>
      <c r="C31" s="16" t="s">
        <v>105</v>
      </c>
      <c r="D31" s="16">
        <v>12</v>
      </c>
      <c r="E31" s="294">
        <v>2551</v>
      </c>
      <c r="I31" s="15" t="s">
        <v>1043</v>
      </c>
      <c r="J31" s="16"/>
      <c r="K31" s="16" t="s">
        <v>1004</v>
      </c>
      <c r="L31" s="16">
        <v>12</v>
      </c>
      <c r="M31" s="17">
        <v>480</v>
      </c>
    </row>
    <row r="32" spans="1:13" x14ac:dyDescent="0.35">
      <c r="A32" s="15" t="s">
        <v>706</v>
      </c>
      <c r="B32" s="16" t="s">
        <v>1038</v>
      </c>
      <c r="C32" s="16" t="s">
        <v>105</v>
      </c>
      <c r="D32" s="16">
        <v>12</v>
      </c>
      <c r="E32" s="296"/>
      <c r="I32" s="15" t="s">
        <v>1044</v>
      </c>
      <c r="J32" s="16"/>
      <c r="K32" s="16" t="s">
        <v>1004</v>
      </c>
      <c r="L32" s="16">
        <v>6</v>
      </c>
      <c r="M32" s="17">
        <v>480</v>
      </c>
    </row>
    <row r="33" spans="1:13" x14ac:dyDescent="0.35">
      <c r="A33" s="15" t="s">
        <v>295</v>
      </c>
      <c r="B33" s="16" t="s">
        <v>1042</v>
      </c>
      <c r="C33" s="16" t="s">
        <v>105</v>
      </c>
      <c r="D33" s="16">
        <v>6</v>
      </c>
      <c r="E33" s="20">
        <v>1799</v>
      </c>
      <c r="I33" s="15" t="s">
        <v>1020</v>
      </c>
      <c r="J33" s="16"/>
      <c r="K33" s="16" t="s">
        <v>1004</v>
      </c>
      <c r="L33" s="16">
        <v>3</v>
      </c>
      <c r="M33" s="18" t="s">
        <v>1006</v>
      </c>
    </row>
    <row r="34" spans="1:13" x14ac:dyDescent="0.35">
      <c r="A34" s="23" t="s">
        <v>1045</v>
      </c>
      <c r="B34" s="23" t="s">
        <v>1046</v>
      </c>
      <c r="C34" s="23" t="s">
        <v>1047</v>
      </c>
      <c r="D34" s="23">
        <v>3</v>
      </c>
      <c r="E34" s="24">
        <v>1456</v>
      </c>
      <c r="I34" s="15" t="s">
        <v>1019</v>
      </c>
      <c r="J34" s="16"/>
      <c r="K34" s="16" t="s">
        <v>1004</v>
      </c>
      <c r="L34" s="16">
        <v>12</v>
      </c>
      <c r="M34" s="17">
        <v>520</v>
      </c>
    </row>
    <row r="35" spans="1:13" x14ac:dyDescent="0.35">
      <c r="A35" s="15" t="s">
        <v>1048</v>
      </c>
      <c r="B35" s="16" t="s">
        <v>597</v>
      </c>
      <c r="C35" s="16" t="s">
        <v>309</v>
      </c>
      <c r="D35" s="16">
        <v>6</v>
      </c>
      <c r="E35" s="17">
        <v>2125</v>
      </c>
      <c r="I35" s="15" t="s">
        <v>580</v>
      </c>
      <c r="J35" s="16"/>
      <c r="K35" s="16" t="s">
        <v>702</v>
      </c>
      <c r="L35" s="16"/>
      <c r="M35" s="20">
        <v>1200</v>
      </c>
    </row>
    <row r="36" spans="1:13" x14ac:dyDescent="0.35">
      <c r="A36" s="15" t="s">
        <v>406</v>
      </c>
      <c r="B36" s="16" t="s">
        <v>187</v>
      </c>
      <c r="C36" s="16" t="s">
        <v>1049</v>
      </c>
      <c r="D36" s="16">
        <v>6</v>
      </c>
      <c r="E36" s="17">
        <v>1500</v>
      </c>
      <c r="I36" s="15" t="s">
        <v>1050</v>
      </c>
      <c r="J36" s="16"/>
      <c r="K36" s="16" t="s">
        <v>615</v>
      </c>
      <c r="L36" s="16"/>
      <c r="M36" s="18" t="s">
        <v>1006</v>
      </c>
    </row>
    <row r="37" spans="1:13" x14ac:dyDescent="0.35">
      <c r="A37" s="15" t="s">
        <v>382</v>
      </c>
      <c r="B37" s="16" t="s">
        <v>384</v>
      </c>
      <c r="C37" s="16" t="s">
        <v>615</v>
      </c>
      <c r="D37" s="16">
        <v>6</v>
      </c>
      <c r="E37" s="18" t="s">
        <v>1006</v>
      </c>
      <c r="I37" s="15" t="s">
        <v>1051</v>
      </c>
      <c r="J37" s="16"/>
      <c r="K37" s="16" t="s">
        <v>615</v>
      </c>
      <c r="L37" s="16"/>
      <c r="M37" s="18" t="s">
        <v>1006</v>
      </c>
    </row>
    <row r="38" spans="1:13" x14ac:dyDescent="0.35">
      <c r="A38" s="15" t="s">
        <v>428</v>
      </c>
      <c r="B38" s="16" t="s">
        <v>118</v>
      </c>
      <c r="C38" s="16" t="s">
        <v>615</v>
      </c>
      <c r="D38" s="16">
        <v>6</v>
      </c>
      <c r="E38" s="18" t="s">
        <v>1015</v>
      </c>
      <c r="I38" s="15" t="s">
        <v>1052</v>
      </c>
      <c r="J38" s="16"/>
      <c r="K38" s="16" t="s">
        <v>615</v>
      </c>
      <c r="L38" s="16"/>
      <c r="M38" s="18" t="s">
        <v>1006</v>
      </c>
    </row>
    <row r="39" spans="1:13" x14ac:dyDescent="0.35">
      <c r="A39" s="15" t="s">
        <v>564</v>
      </c>
      <c r="B39" s="16" t="s">
        <v>82</v>
      </c>
      <c r="C39" s="16" t="s">
        <v>1053</v>
      </c>
      <c r="D39" s="16">
        <v>12</v>
      </c>
      <c r="E39" s="17">
        <v>3312</v>
      </c>
      <c r="I39" s="15" t="s">
        <v>1054</v>
      </c>
      <c r="J39" s="16"/>
      <c r="K39" s="16" t="s">
        <v>1004</v>
      </c>
      <c r="L39" s="16"/>
      <c r="M39" s="20">
        <v>550</v>
      </c>
    </row>
    <row r="40" spans="1:13" x14ac:dyDescent="0.35">
      <c r="A40" s="15" t="s">
        <v>1055</v>
      </c>
      <c r="B40" s="16" t="s">
        <v>1034</v>
      </c>
      <c r="C40" s="16" t="s">
        <v>702</v>
      </c>
      <c r="D40" s="16">
        <v>12</v>
      </c>
      <c r="E40" s="20">
        <v>3500</v>
      </c>
      <c r="I40" s="15" t="s">
        <v>1056</v>
      </c>
      <c r="J40" s="16"/>
      <c r="K40" s="16" t="s">
        <v>105</v>
      </c>
      <c r="L40" s="16"/>
      <c r="M40" s="294">
        <v>288</v>
      </c>
    </row>
    <row r="41" spans="1:13" x14ac:dyDescent="0.35">
      <c r="A41" s="15" t="s">
        <v>428</v>
      </c>
      <c r="B41" s="16" t="s">
        <v>118</v>
      </c>
      <c r="C41" s="16" t="s">
        <v>615</v>
      </c>
      <c r="D41" s="16">
        <v>6</v>
      </c>
      <c r="E41" s="19" t="s">
        <v>1006</v>
      </c>
      <c r="I41" s="15" t="s">
        <v>1026</v>
      </c>
      <c r="J41" s="16"/>
      <c r="K41" s="16" t="s">
        <v>105</v>
      </c>
      <c r="L41" s="16"/>
      <c r="M41" s="296"/>
    </row>
    <row r="42" spans="1:13" x14ac:dyDescent="0.35">
      <c r="A42" s="15" t="s">
        <v>1057</v>
      </c>
      <c r="B42" s="16" t="s">
        <v>1003</v>
      </c>
      <c r="C42" s="16" t="s">
        <v>1039</v>
      </c>
      <c r="D42" s="16">
        <v>12</v>
      </c>
      <c r="E42" s="17">
        <v>480</v>
      </c>
      <c r="I42" s="15" t="s">
        <v>1058</v>
      </c>
      <c r="J42" s="16"/>
      <c r="K42" s="16" t="s">
        <v>1004</v>
      </c>
      <c r="L42" s="16"/>
      <c r="M42" s="20">
        <v>480</v>
      </c>
    </row>
    <row r="43" spans="1:13" x14ac:dyDescent="0.35">
      <c r="A43" s="15" t="s">
        <v>1059</v>
      </c>
      <c r="B43" s="16" t="s">
        <v>1038</v>
      </c>
      <c r="C43" s="16" t="s">
        <v>105</v>
      </c>
      <c r="D43" s="16">
        <v>3</v>
      </c>
      <c r="E43" s="17">
        <v>936</v>
      </c>
      <c r="I43" s="13" t="s">
        <v>1060</v>
      </c>
      <c r="J43" s="13"/>
      <c r="K43" s="13"/>
      <c r="L43" s="13"/>
      <c r="M43" s="22">
        <f>SUM(M27:M42)</f>
        <v>5678</v>
      </c>
    </row>
    <row r="44" spans="1:13" x14ac:dyDescent="0.35">
      <c r="A44" s="15" t="s">
        <v>1061</v>
      </c>
      <c r="B44" s="16" t="s">
        <v>1042</v>
      </c>
      <c r="C44" s="16" t="s">
        <v>105</v>
      </c>
      <c r="D44" s="16">
        <v>1</v>
      </c>
      <c r="E44" s="17">
        <v>490</v>
      </c>
    </row>
    <row r="45" spans="1:13" x14ac:dyDescent="0.35">
      <c r="A45" s="16" t="s">
        <v>728</v>
      </c>
      <c r="B45" s="16" t="s">
        <v>1003</v>
      </c>
      <c r="C45" s="16" t="s">
        <v>1004</v>
      </c>
      <c r="D45" s="16">
        <v>3</v>
      </c>
      <c r="E45" s="17">
        <v>480</v>
      </c>
    </row>
    <row r="46" spans="1:13" x14ac:dyDescent="0.35">
      <c r="A46" s="16"/>
      <c r="B46" s="25"/>
      <c r="C46" s="26"/>
      <c r="D46" s="27"/>
      <c r="E46" s="17"/>
    </row>
    <row r="47" spans="1:13" x14ac:dyDescent="0.35">
      <c r="A47" s="16" t="s">
        <v>1062</v>
      </c>
      <c r="B47" s="16"/>
      <c r="C47" s="16" t="s">
        <v>1004</v>
      </c>
      <c r="D47" s="16" t="s">
        <v>1063</v>
      </c>
      <c r="E47" s="17">
        <v>21120</v>
      </c>
    </row>
    <row r="48" spans="1:13" x14ac:dyDescent="0.35">
      <c r="A48" s="16"/>
      <c r="B48" s="25"/>
      <c r="C48" s="26"/>
      <c r="D48" s="27"/>
      <c r="E48" s="17"/>
    </row>
    <row r="49" spans="1:13" x14ac:dyDescent="0.35">
      <c r="A49" s="13" t="s">
        <v>993</v>
      </c>
      <c r="B49" s="301"/>
      <c r="C49" s="302"/>
      <c r="D49" s="303"/>
      <c r="E49" s="22">
        <f>SUM(E5:E47)</f>
        <v>78649</v>
      </c>
    </row>
    <row r="50" spans="1:13" x14ac:dyDescent="0.35">
      <c r="I50" s="11" t="s">
        <v>848</v>
      </c>
    </row>
    <row r="51" spans="1:13" x14ac:dyDescent="0.35">
      <c r="A51" s="11" t="s">
        <v>37</v>
      </c>
    </row>
    <row r="52" spans="1:13" x14ac:dyDescent="0.35">
      <c r="I52" s="13" t="s">
        <v>998</v>
      </c>
      <c r="J52" s="13" t="s">
        <v>999</v>
      </c>
      <c r="K52" s="13" t="s">
        <v>1000</v>
      </c>
      <c r="L52" s="13" t="s">
        <v>1001</v>
      </c>
      <c r="M52" s="14" t="s">
        <v>1002</v>
      </c>
    </row>
    <row r="53" spans="1:13" x14ac:dyDescent="0.35">
      <c r="A53" s="13" t="s">
        <v>998</v>
      </c>
      <c r="B53" s="13" t="s">
        <v>999</v>
      </c>
      <c r="C53" s="13" t="s">
        <v>1000</v>
      </c>
      <c r="D53" s="13" t="s">
        <v>1001</v>
      </c>
      <c r="E53" s="14" t="s">
        <v>1002</v>
      </c>
      <c r="I53" s="15" t="s">
        <v>41</v>
      </c>
      <c r="J53" s="16" t="s">
        <v>1005</v>
      </c>
      <c r="K53" s="16" t="s">
        <v>1004</v>
      </c>
      <c r="L53" s="16">
        <v>6</v>
      </c>
      <c r="M53" s="17">
        <v>960</v>
      </c>
    </row>
    <row r="54" spans="1:13" x14ac:dyDescent="0.35">
      <c r="A54" s="15" t="s">
        <v>41</v>
      </c>
      <c r="B54" s="16" t="s">
        <v>1005</v>
      </c>
      <c r="C54" s="16" t="s">
        <v>1004</v>
      </c>
      <c r="D54" s="16">
        <v>6</v>
      </c>
      <c r="E54" s="289">
        <v>960</v>
      </c>
      <c r="I54" s="16" t="s">
        <v>85</v>
      </c>
      <c r="J54" s="16" t="s">
        <v>1005</v>
      </c>
      <c r="K54" s="16" t="s">
        <v>1004</v>
      </c>
      <c r="L54" s="16">
        <v>6</v>
      </c>
      <c r="M54" s="17">
        <v>600</v>
      </c>
    </row>
    <row r="55" spans="1:13" x14ac:dyDescent="0.35">
      <c r="A55" s="15" t="s">
        <v>50</v>
      </c>
      <c r="B55" s="16" t="s">
        <v>1005</v>
      </c>
      <c r="C55" s="16" t="s">
        <v>1004</v>
      </c>
      <c r="D55" s="16">
        <v>6</v>
      </c>
      <c r="E55" s="290"/>
      <c r="I55" s="15" t="s">
        <v>860</v>
      </c>
      <c r="J55" s="16"/>
      <c r="K55" s="16" t="s">
        <v>1004</v>
      </c>
      <c r="L55" s="16">
        <v>6</v>
      </c>
      <c r="M55" s="17">
        <v>4320</v>
      </c>
    </row>
    <row r="56" spans="1:13" x14ac:dyDescent="0.35">
      <c r="A56" s="15" t="s">
        <v>85</v>
      </c>
      <c r="B56" s="16" t="s">
        <v>1005</v>
      </c>
      <c r="C56" s="16" t="s">
        <v>1004</v>
      </c>
      <c r="D56" s="16">
        <v>12</v>
      </c>
      <c r="E56" s="17">
        <v>480</v>
      </c>
      <c r="I56" s="15" t="s">
        <v>1064</v>
      </c>
      <c r="J56" s="16"/>
      <c r="K56" s="16" t="s">
        <v>1004</v>
      </c>
      <c r="L56" s="16">
        <v>6</v>
      </c>
      <c r="M56" s="17">
        <v>480</v>
      </c>
    </row>
    <row r="57" spans="1:13" x14ac:dyDescent="0.35">
      <c r="A57" s="15" t="s">
        <v>117</v>
      </c>
      <c r="B57" s="16"/>
      <c r="C57" s="16" t="s">
        <v>1010</v>
      </c>
      <c r="D57" s="16"/>
      <c r="E57" s="19" t="s">
        <v>1015</v>
      </c>
      <c r="I57" s="15" t="s">
        <v>879</v>
      </c>
      <c r="J57" s="16"/>
      <c r="K57" s="16" t="s">
        <v>1004</v>
      </c>
      <c r="L57" s="16">
        <v>6</v>
      </c>
      <c r="M57" s="17">
        <v>480</v>
      </c>
    </row>
    <row r="58" spans="1:13" x14ac:dyDescent="0.35">
      <c r="A58" s="15" t="s">
        <v>1019</v>
      </c>
      <c r="B58" s="16"/>
      <c r="C58" s="16" t="s">
        <v>1004</v>
      </c>
      <c r="D58" s="16">
        <v>1</v>
      </c>
      <c r="E58" s="17">
        <v>480</v>
      </c>
      <c r="I58" s="15" t="s">
        <v>85</v>
      </c>
      <c r="J58" s="16"/>
      <c r="K58" s="16" t="s">
        <v>1004</v>
      </c>
      <c r="L58" s="16">
        <v>6</v>
      </c>
      <c r="M58" s="17">
        <v>480</v>
      </c>
    </row>
    <row r="59" spans="1:13" x14ac:dyDescent="0.35">
      <c r="A59" s="15" t="s">
        <v>580</v>
      </c>
      <c r="B59" s="16"/>
      <c r="C59" s="16" t="s">
        <v>702</v>
      </c>
      <c r="D59" s="16">
        <v>2</v>
      </c>
      <c r="E59" s="17">
        <v>1400</v>
      </c>
      <c r="I59" s="15" t="s">
        <v>1065</v>
      </c>
      <c r="J59" s="16"/>
      <c r="K59" s="16" t="s">
        <v>1004</v>
      </c>
      <c r="L59" s="16">
        <v>6</v>
      </c>
      <c r="M59" s="17">
        <v>480</v>
      </c>
    </row>
    <row r="60" spans="1:13" x14ac:dyDescent="0.35">
      <c r="A60" s="15" t="s">
        <v>1066</v>
      </c>
      <c r="B60" s="16"/>
      <c r="C60" s="16" t="s">
        <v>1004</v>
      </c>
      <c r="D60" s="16"/>
      <c r="E60" s="18" t="s">
        <v>1015</v>
      </c>
      <c r="I60" s="15" t="s">
        <v>1067</v>
      </c>
      <c r="J60" s="16"/>
      <c r="K60" s="16" t="s">
        <v>1004</v>
      </c>
      <c r="L60" s="16">
        <v>12</v>
      </c>
      <c r="M60" s="17" t="s">
        <v>1006</v>
      </c>
    </row>
    <row r="61" spans="1:13" x14ac:dyDescent="0.35">
      <c r="A61" s="15" t="s">
        <v>1068</v>
      </c>
      <c r="B61" s="16"/>
      <c r="C61" s="16" t="s">
        <v>1004</v>
      </c>
      <c r="D61" s="16"/>
      <c r="E61" s="291" t="s">
        <v>1015</v>
      </c>
      <c r="I61" s="15" t="s">
        <v>1069</v>
      </c>
      <c r="J61" s="16"/>
      <c r="K61" s="16" t="s">
        <v>1004</v>
      </c>
      <c r="L61" s="16">
        <v>6</v>
      </c>
      <c r="M61" s="289">
        <v>480</v>
      </c>
    </row>
    <row r="62" spans="1:13" x14ac:dyDescent="0.35">
      <c r="A62" s="15" t="s">
        <v>1020</v>
      </c>
      <c r="B62" s="16"/>
      <c r="C62" s="16" t="s">
        <v>1004</v>
      </c>
      <c r="D62" s="16"/>
      <c r="E62" s="293"/>
      <c r="I62" s="15" t="s">
        <v>1070</v>
      </c>
      <c r="J62" s="16"/>
      <c r="K62" s="16" t="s">
        <v>1004</v>
      </c>
      <c r="L62" s="16">
        <v>6</v>
      </c>
      <c r="M62" s="290"/>
    </row>
    <row r="63" spans="1:13" x14ac:dyDescent="0.35">
      <c r="A63" s="15" t="s">
        <v>1071</v>
      </c>
      <c r="B63" s="16"/>
      <c r="C63" s="16"/>
      <c r="D63" s="16"/>
      <c r="E63" s="18" t="s">
        <v>1015</v>
      </c>
      <c r="I63" s="15" t="s">
        <v>1044</v>
      </c>
      <c r="J63" s="16"/>
      <c r="K63" s="16" t="s">
        <v>1004</v>
      </c>
      <c r="L63" s="16">
        <v>6</v>
      </c>
      <c r="M63" s="17">
        <v>480</v>
      </c>
    </row>
    <row r="64" spans="1:13" x14ac:dyDescent="0.35">
      <c r="A64" s="15" t="s">
        <v>1072</v>
      </c>
      <c r="B64" s="16"/>
      <c r="C64" s="16" t="s">
        <v>1004</v>
      </c>
      <c r="D64" s="16"/>
      <c r="E64" s="297">
        <v>480</v>
      </c>
      <c r="I64" s="15" t="s">
        <v>1073</v>
      </c>
      <c r="J64" s="16"/>
      <c r="K64" s="16" t="s">
        <v>1004</v>
      </c>
      <c r="L64" s="16">
        <v>12</v>
      </c>
      <c r="M64" s="18" t="s">
        <v>1006</v>
      </c>
    </row>
    <row r="65" spans="1:13" x14ac:dyDescent="0.35">
      <c r="A65" s="15" t="s">
        <v>1072</v>
      </c>
      <c r="B65" s="16"/>
      <c r="C65" s="16" t="s">
        <v>1004</v>
      </c>
      <c r="D65" s="16"/>
      <c r="E65" s="298"/>
      <c r="I65" s="15" t="s">
        <v>1074</v>
      </c>
      <c r="J65" s="16"/>
      <c r="K65" s="16" t="s">
        <v>702</v>
      </c>
      <c r="L65" s="16">
        <v>1</v>
      </c>
      <c r="M65" s="20">
        <v>2780</v>
      </c>
    </row>
    <row r="66" spans="1:13" x14ac:dyDescent="0.35">
      <c r="A66" s="15" t="s">
        <v>1056</v>
      </c>
      <c r="B66" s="16"/>
      <c r="C66" s="16" t="s">
        <v>105</v>
      </c>
      <c r="D66" s="16"/>
      <c r="E66" s="294">
        <v>420</v>
      </c>
      <c r="I66" s="15" t="s">
        <v>1043</v>
      </c>
      <c r="J66" s="16"/>
      <c r="K66" s="16" t="s">
        <v>1004</v>
      </c>
      <c r="L66" s="16">
        <v>12</v>
      </c>
      <c r="M66" s="289">
        <v>480</v>
      </c>
    </row>
    <row r="67" spans="1:13" x14ac:dyDescent="0.35">
      <c r="A67" s="15" t="s">
        <v>1026</v>
      </c>
      <c r="B67" s="16"/>
      <c r="C67" s="16" t="s">
        <v>105</v>
      </c>
      <c r="D67" s="16"/>
      <c r="E67" s="295"/>
      <c r="I67" s="15" t="s">
        <v>1075</v>
      </c>
      <c r="J67" s="16"/>
      <c r="K67" s="16" t="s">
        <v>1004</v>
      </c>
      <c r="L67" s="16">
        <v>12</v>
      </c>
      <c r="M67" s="290"/>
    </row>
    <row r="68" spans="1:13" x14ac:dyDescent="0.35">
      <c r="A68" s="15" t="s">
        <v>1076</v>
      </c>
      <c r="B68" s="16"/>
      <c r="C68" s="16" t="s">
        <v>105</v>
      </c>
      <c r="D68" s="16"/>
      <c r="E68" s="296"/>
      <c r="I68" s="15" t="s">
        <v>1019</v>
      </c>
      <c r="J68" s="16"/>
      <c r="K68" s="16" t="s">
        <v>1004</v>
      </c>
      <c r="L68" s="16">
        <v>12</v>
      </c>
      <c r="M68" s="17">
        <v>480</v>
      </c>
    </row>
    <row r="69" spans="1:13" x14ac:dyDescent="0.35">
      <c r="A69" s="15" t="s">
        <v>1077</v>
      </c>
      <c r="B69" s="16"/>
      <c r="C69" s="16" t="s">
        <v>105</v>
      </c>
      <c r="D69" s="16"/>
      <c r="E69" s="20">
        <v>634</v>
      </c>
      <c r="I69" s="15" t="s">
        <v>1078</v>
      </c>
      <c r="J69" s="16"/>
      <c r="K69" s="16" t="s">
        <v>1004</v>
      </c>
      <c r="L69" s="299">
        <v>6</v>
      </c>
      <c r="M69" s="289">
        <v>480</v>
      </c>
    </row>
    <row r="70" spans="1:13" x14ac:dyDescent="0.35">
      <c r="A70" s="15" t="s">
        <v>1079</v>
      </c>
      <c r="B70" s="16"/>
      <c r="C70" s="16"/>
      <c r="D70" s="16"/>
      <c r="E70" s="18" t="s">
        <v>1015</v>
      </c>
      <c r="I70" s="15" t="s">
        <v>1080</v>
      </c>
      <c r="J70" s="16"/>
      <c r="K70" s="16" t="s">
        <v>1004</v>
      </c>
      <c r="L70" s="300"/>
      <c r="M70" s="290"/>
    </row>
    <row r="71" spans="1:13" x14ac:dyDescent="0.35">
      <c r="A71" s="15" t="s">
        <v>890</v>
      </c>
      <c r="B71" s="16"/>
      <c r="C71" s="16"/>
      <c r="D71" s="16"/>
      <c r="E71" s="18" t="s">
        <v>1015</v>
      </c>
      <c r="I71" s="15" t="s">
        <v>1020</v>
      </c>
      <c r="J71" s="16"/>
      <c r="K71" s="16" t="s">
        <v>1004</v>
      </c>
      <c r="L71" s="16">
        <v>3</v>
      </c>
      <c r="M71" s="291" t="s">
        <v>1006</v>
      </c>
    </row>
    <row r="72" spans="1:13" x14ac:dyDescent="0.35">
      <c r="A72" s="13" t="s">
        <v>1060</v>
      </c>
      <c r="B72" s="13"/>
      <c r="C72" s="13"/>
      <c r="D72" s="13"/>
      <c r="E72" s="22">
        <f>SUM(E54:E71)</f>
        <v>4854</v>
      </c>
      <c r="I72" s="15" t="s">
        <v>1020</v>
      </c>
      <c r="J72" s="16"/>
      <c r="K72" s="16" t="s">
        <v>1004</v>
      </c>
      <c r="L72" s="16">
        <v>3</v>
      </c>
      <c r="M72" s="292"/>
    </row>
    <row r="73" spans="1:13" x14ac:dyDescent="0.35">
      <c r="I73" s="15" t="s">
        <v>1068</v>
      </c>
      <c r="J73" s="16"/>
      <c r="K73" s="16" t="s">
        <v>615</v>
      </c>
      <c r="L73" s="16">
        <v>1</v>
      </c>
      <c r="M73" s="293"/>
    </row>
    <row r="74" spans="1:13" x14ac:dyDescent="0.35">
      <c r="I74" s="15" t="s">
        <v>1081</v>
      </c>
      <c r="J74" s="16"/>
      <c r="K74" s="16" t="s">
        <v>615</v>
      </c>
      <c r="L74" s="16">
        <v>1</v>
      </c>
      <c r="M74" s="28" t="s">
        <v>1006</v>
      </c>
    </row>
    <row r="75" spans="1:13" x14ac:dyDescent="0.35">
      <c r="C75" s="12"/>
      <c r="I75" s="15" t="s">
        <v>1077</v>
      </c>
      <c r="J75" s="16"/>
      <c r="K75" s="16" t="s">
        <v>105</v>
      </c>
      <c r="L75" s="16">
        <v>6</v>
      </c>
      <c r="M75" s="20">
        <v>634</v>
      </c>
    </row>
    <row r="76" spans="1:13" x14ac:dyDescent="0.35">
      <c r="C76" s="12"/>
      <c r="I76" s="15" t="s">
        <v>1082</v>
      </c>
      <c r="J76" s="16"/>
      <c r="K76" s="16" t="s">
        <v>615</v>
      </c>
      <c r="L76" s="16">
        <v>1</v>
      </c>
      <c r="M76" s="18" t="s">
        <v>1006</v>
      </c>
    </row>
    <row r="77" spans="1:13" x14ac:dyDescent="0.35">
      <c r="A77" s="29"/>
      <c r="B77" s="30"/>
      <c r="C77" s="30"/>
      <c r="I77" s="15" t="s">
        <v>1083</v>
      </c>
      <c r="J77" s="16"/>
      <c r="K77" s="16" t="s">
        <v>615</v>
      </c>
      <c r="L77" s="16">
        <v>1</v>
      </c>
      <c r="M77" s="18" t="s">
        <v>1006</v>
      </c>
    </row>
    <row r="78" spans="1:13" x14ac:dyDescent="0.35">
      <c r="A78" s="31"/>
      <c r="B78" s="32"/>
      <c r="C78" s="32"/>
      <c r="I78" s="15" t="s">
        <v>1084</v>
      </c>
      <c r="J78" s="16"/>
      <c r="K78" s="16" t="s">
        <v>615</v>
      </c>
      <c r="L78" s="16">
        <v>1</v>
      </c>
      <c r="M78" s="18" t="s">
        <v>1006</v>
      </c>
    </row>
    <row r="79" spans="1:13" x14ac:dyDescent="0.35">
      <c r="A79" s="31"/>
      <c r="B79" s="32"/>
      <c r="C79" s="32"/>
      <c r="I79" s="15" t="s">
        <v>720</v>
      </c>
      <c r="J79" s="16" t="s">
        <v>1085</v>
      </c>
      <c r="K79" s="16" t="s">
        <v>105</v>
      </c>
      <c r="L79" s="16">
        <v>4</v>
      </c>
      <c r="M79" s="20">
        <v>1911</v>
      </c>
    </row>
    <row r="80" spans="1:13" x14ac:dyDescent="0.35">
      <c r="A80" s="31"/>
      <c r="B80" s="32"/>
      <c r="C80" s="32"/>
      <c r="I80" s="15" t="s">
        <v>382</v>
      </c>
      <c r="J80" s="16" t="s">
        <v>195</v>
      </c>
      <c r="K80" s="16"/>
      <c r="L80" s="16">
        <v>2</v>
      </c>
      <c r="M80" s="18" t="s">
        <v>1006</v>
      </c>
    </row>
    <row r="81" spans="1:13" x14ac:dyDescent="0.35">
      <c r="A81" s="31"/>
      <c r="B81" s="32"/>
      <c r="C81" s="32"/>
      <c r="I81" s="15" t="s">
        <v>428</v>
      </c>
      <c r="J81" s="16" t="s">
        <v>118</v>
      </c>
      <c r="K81" s="16"/>
      <c r="L81" s="16">
        <v>2</v>
      </c>
      <c r="M81" s="18" t="s">
        <v>1006</v>
      </c>
    </row>
    <row r="82" spans="1:13" x14ac:dyDescent="0.35">
      <c r="A82" s="31"/>
      <c r="B82" s="32"/>
      <c r="C82" s="32"/>
      <c r="I82" s="15" t="s">
        <v>1086</v>
      </c>
      <c r="J82" s="16"/>
      <c r="K82" s="16"/>
      <c r="L82" s="16">
        <v>2</v>
      </c>
      <c r="M82" s="18" t="s">
        <v>1006</v>
      </c>
    </row>
    <row r="83" spans="1:13" x14ac:dyDescent="0.35">
      <c r="A83" s="31"/>
      <c r="B83" s="32"/>
      <c r="C83" s="32"/>
      <c r="I83" s="15" t="s">
        <v>1087</v>
      </c>
      <c r="J83" s="16"/>
      <c r="K83" s="16"/>
      <c r="L83" s="16">
        <v>1</v>
      </c>
      <c r="M83" s="18" t="s">
        <v>1006</v>
      </c>
    </row>
    <row r="84" spans="1:13" x14ac:dyDescent="0.35">
      <c r="A84" s="13"/>
      <c r="B84" s="14"/>
      <c r="C84" s="14"/>
      <c r="I84" s="15" t="s">
        <v>580</v>
      </c>
      <c r="J84" s="16"/>
      <c r="K84" s="16" t="s">
        <v>1004</v>
      </c>
      <c r="L84" s="16">
        <v>1</v>
      </c>
      <c r="M84" s="20">
        <v>1200</v>
      </c>
    </row>
    <row r="85" spans="1:13" x14ac:dyDescent="0.35">
      <c r="C85" s="12"/>
      <c r="I85" s="15" t="s">
        <v>1056</v>
      </c>
      <c r="J85" s="16"/>
      <c r="K85" s="16" t="s">
        <v>105</v>
      </c>
      <c r="L85" s="16">
        <v>1</v>
      </c>
      <c r="M85" s="294">
        <v>390</v>
      </c>
    </row>
    <row r="86" spans="1:13" x14ac:dyDescent="0.35">
      <c r="I86" s="15" t="s">
        <v>1026</v>
      </c>
      <c r="J86" s="16"/>
      <c r="K86" s="16" t="s">
        <v>105</v>
      </c>
      <c r="L86" s="16">
        <v>1</v>
      </c>
      <c r="M86" s="295"/>
    </row>
    <row r="87" spans="1:13" x14ac:dyDescent="0.35">
      <c r="I87" s="15" t="s">
        <v>1076</v>
      </c>
      <c r="J87" s="16"/>
      <c r="K87" s="16"/>
      <c r="L87" s="16">
        <v>1</v>
      </c>
      <c r="M87" s="296"/>
    </row>
    <row r="88" spans="1:13" x14ac:dyDescent="0.35">
      <c r="I88" s="15" t="s">
        <v>1088</v>
      </c>
      <c r="J88" s="16"/>
      <c r="K88" s="16"/>
      <c r="L88" s="16">
        <v>1</v>
      </c>
      <c r="M88" s="18" t="s">
        <v>1015</v>
      </c>
    </row>
    <row r="89" spans="1:13" x14ac:dyDescent="0.35">
      <c r="I89" s="13" t="s">
        <v>1060</v>
      </c>
      <c r="J89" s="13"/>
      <c r="K89" s="13"/>
      <c r="L89" s="13"/>
      <c r="M89" s="22">
        <f>SUM(M53:M88)</f>
        <v>17115</v>
      </c>
    </row>
  </sheetData>
  <mergeCells count="15">
    <mergeCell ref="M20:M21"/>
    <mergeCell ref="M28:M29"/>
    <mergeCell ref="E31:E32"/>
    <mergeCell ref="M40:M41"/>
    <mergeCell ref="B49:D49"/>
    <mergeCell ref="E54:E55"/>
    <mergeCell ref="M71:M73"/>
    <mergeCell ref="M85:M87"/>
    <mergeCell ref="E61:E62"/>
    <mergeCell ref="M61:M62"/>
    <mergeCell ref="E64:E65"/>
    <mergeCell ref="E66:E68"/>
    <mergeCell ref="M66:M67"/>
    <mergeCell ref="L69:L70"/>
    <mergeCell ref="M69:M7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E32F1-0E55-4C9D-B933-A211C7006E87}">
  <dimension ref="A1:G11"/>
  <sheetViews>
    <sheetView workbookViewId="0">
      <selection activeCell="A108" sqref="A1:XFD108"/>
    </sheetView>
  </sheetViews>
  <sheetFormatPr defaultRowHeight="14.5" x14ac:dyDescent="0.35"/>
  <cols>
    <col min="2" max="2" width="35" customWidth="1"/>
    <col min="3" max="3" width="56.453125" customWidth="1"/>
    <col min="5" max="5" width="24.81640625" customWidth="1"/>
    <col min="6" max="6" width="23.7265625" customWidth="1"/>
    <col min="7" max="7" width="23.26953125" customWidth="1"/>
  </cols>
  <sheetData>
    <row r="1" spans="1:7" x14ac:dyDescent="0.35">
      <c r="A1" s="34" t="s">
        <v>1089</v>
      </c>
      <c r="B1" s="35" t="s">
        <v>1090</v>
      </c>
      <c r="C1" s="35" t="s">
        <v>1091</v>
      </c>
      <c r="D1" s="36" t="s">
        <v>1092</v>
      </c>
      <c r="E1" s="36" t="s">
        <v>6</v>
      </c>
      <c r="F1" s="36" t="s">
        <v>1093</v>
      </c>
      <c r="G1" s="36" t="s">
        <v>1094</v>
      </c>
    </row>
    <row r="2" spans="1:7" x14ac:dyDescent="0.35">
      <c r="A2" s="50"/>
      <c r="B2" s="46"/>
      <c r="C2" s="46"/>
      <c r="D2" s="47"/>
      <c r="E2" s="47"/>
      <c r="F2" s="47"/>
      <c r="G2" s="47"/>
    </row>
    <row r="3" spans="1:7" x14ac:dyDescent="0.35">
      <c r="A3" s="48" t="s">
        <v>1095</v>
      </c>
      <c r="B3" s="48"/>
      <c r="C3" s="48"/>
      <c r="D3" s="49"/>
      <c r="E3" s="49"/>
      <c r="F3" s="49" t="s">
        <v>1096</v>
      </c>
      <c r="G3" s="49"/>
    </row>
    <row r="4" spans="1:7" ht="29" x14ac:dyDescent="0.35">
      <c r="A4" s="37" t="s">
        <v>1097</v>
      </c>
      <c r="B4" s="38" t="s">
        <v>1098</v>
      </c>
      <c r="C4" s="39" t="s">
        <v>1099</v>
      </c>
      <c r="D4" s="40" t="s">
        <v>75</v>
      </c>
      <c r="E4" s="41" t="s">
        <v>75</v>
      </c>
      <c r="F4" s="45">
        <v>441315.2</v>
      </c>
      <c r="G4" s="42" t="s">
        <v>1100</v>
      </c>
    </row>
    <row r="5" spans="1:7" x14ac:dyDescent="0.35">
      <c r="A5" s="37" t="s">
        <v>1100</v>
      </c>
      <c r="B5" s="38" t="s">
        <v>1100</v>
      </c>
      <c r="C5" s="39" t="s">
        <v>1100</v>
      </c>
      <c r="D5" s="43"/>
      <c r="E5" s="38" t="s">
        <v>1100</v>
      </c>
      <c r="F5" s="45" t="s">
        <v>1100</v>
      </c>
      <c r="G5" s="42" t="s">
        <v>1100</v>
      </c>
    </row>
    <row r="6" spans="1:7" x14ac:dyDescent="0.35">
      <c r="A6" s="37" t="s">
        <v>1101</v>
      </c>
      <c r="B6" s="38" t="s">
        <v>1102</v>
      </c>
      <c r="C6" s="41" t="s">
        <v>1103</v>
      </c>
      <c r="D6" s="44" t="s">
        <v>75</v>
      </c>
      <c r="E6" s="41" t="s">
        <v>75</v>
      </c>
      <c r="F6" s="45">
        <v>281792.32</v>
      </c>
      <c r="G6" s="42" t="s">
        <v>1100</v>
      </c>
    </row>
    <row r="7" spans="1:7" x14ac:dyDescent="0.35">
      <c r="A7" s="37" t="s">
        <v>1104</v>
      </c>
      <c r="B7" s="38" t="s">
        <v>1105</v>
      </c>
      <c r="C7" s="41" t="s">
        <v>1106</v>
      </c>
      <c r="D7" s="44" t="s">
        <v>75</v>
      </c>
      <c r="E7" s="41" t="s">
        <v>75</v>
      </c>
      <c r="F7" s="45">
        <v>540411.66</v>
      </c>
      <c r="G7" s="42" t="s">
        <v>1100</v>
      </c>
    </row>
    <row r="8" spans="1:7" ht="29" x14ac:dyDescent="0.35">
      <c r="A8" s="37" t="s">
        <v>1107</v>
      </c>
      <c r="B8" s="38" t="s">
        <v>1108</v>
      </c>
      <c r="C8" s="39" t="s">
        <v>1109</v>
      </c>
      <c r="D8" s="44" t="s">
        <v>1100</v>
      </c>
      <c r="E8" s="41" t="s">
        <v>1100</v>
      </c>
      <c r="F8" s="45" t="s">
        <v>1100</v>
      </c>
      <c r="G8" s="42" t="s">
        <v>1100</v>
      </c>
    </row>
    <row r="9" spans="1:7" x14ac:dyDescent="0.35">
      <c r="A9" s="37" t="s">
        <v>1110</v>
      </c>
      <c r="B9" s="38" t="s">
        <v>1111</v>
      </c>
      <c r="C9" s="41" t="s">
        <v>1112</v>
      </c>
      <c r="D9" s="44" t="s">
        <v>75</v>
      </c>
      <c r="E9" s="41" t="s">
        <v>75</v>
      </c>
      <c r="F9" s="45">
        <v>126854.97</v>
      </c>
      <c r="G9" s="42" t="s">
        <v>1100</v>
      </c>
    </row>
    <row r="10" spans="1:7" x14ac:dyDescent="0.35">
      <c r="A10" s="37" t="s">
        <v>1100</v>
      </c>
      <c r="B10" s="38" t="s">
        <v>1100</v>
      </c>
      <c r="C10" s="41" t="s">
        <v>1100</v>
      </c>
      <c r="D10" s="44" t="s">
        <v>1100</v>
      </c>
      <c r="E10" s="41" t="s">
        <v>1100</v>
      </c>
      <c r="F10" s="45" t="s">
        <v>1100</v>
      </c>
      <c r="G10" s="42" t="s">
        <v>1100</v>
      </c>
    </row>
    <row r="11" spans="1:7" x14ac:dyDescent="0.35">
      <c r="A11" s="37" t="s">
        <v>1100</v>
      </c>
      <c r="B11" s="38" t="s">
        <v>1100</v>
      </c>
      <c r="C11" s="41" t="s">
        <v>1100</v>
      </c>
      <c r="D11" s="44" t="s">
        <v>1100</v>
      </c>
      <c r="E11" s="41" t="s">
        <v>1100</v>
      </c>
      <c r="F11" s="41" t="s">
        <v>1100</v>
      </c>
      <c r="G11" s="42" t="s">
        <v>1100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263D84272B55479FC91772FB8BCEE3" ma:contentTypeVersion="17" ma:contentTypeDescription="Create a new document." ma:contentTypeScope="" ma:versionID="c5759780ec632fb53c775755969d67fc">
  <xsd:schema xmlns:xsd="http://www.w3.org/2001/XMLSchema" xmlns:xs="http://www.w3.org/2001/XMLSchema" xmlns:p="http://schemas.microsoft.com/office/2006/metadata/properties" xmlns:ns2="5b56151d-e930-42ce-a2d4-a7d65e43f0f7" xmlns:ns3="5dc7e9bb-1fd8-4bbc-8532-e859b5f03575" targetNamespace="http://schemas.microsoft.com/office/2006/metadata/properties" ma:root="true" ma:fieldsID="3885813ee5192b29be5a4342dc586fe8" ns2:_="" ns3:_="">
    <xsd:import namespace="5b56151d-e930-42ce-a2d4-a7d65e43f0f7"/>
    <xsd:import namespace="5dc7e9bb-1fd8-4bbc-8532-e859b5f035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56151d-e930-42ce-a2d4-a7d65e43f0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etails" ma:index="22" nillable="true" ma:displayName="Details" ma:format="Dropdown" ma:internalName="Details">
      <xsd:simpleType>
        <xsd:restriction base="dms:Text">
          <xsd:maxLength value="255"/>
        </xsd:restriction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c7e9bb-1fd8-4bbc-8532-e859b5f0357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9aff406b-fddb-4815-8d10-481099297b63}" ma:internalName="TaxCatchAll" ma:showField="CatchAllData" ma:web="5dc7e9bb-1fd8-4bbc-8532-e859b5f035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c7e9bb-1fd8-4bbc-8532-e859b5f03575" xsi:nil="true"/>
    <lcf76f155ced4ddcb4097134ff3c332f xmlns="5b56151d-e930-42ce-a2d4-a7d65e43f0f7">
      <Terms xmlns="http://schemas.microsoft.com/office/infopath/2007/PartnerControls"/>
    </lcf76f155ced4ddcb4097134ff3c332f>
    <Details xmlns="5b56151d-e930-42ce-a2d4-a7d65e43f0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629906-DA2B-4223-BFE7-4A452FA696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56151d-e930-42ce-a2d4-a7d65e43f0f7"/>
    <ds:schemaRef ds:uri="5dc7e9bb-1fd8-4bbc-8532-e859b5f035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45ADA2-7CDB-43E7-AF64-BCA444869A69}">
  <ds:schemaRefs>
    <ds:schemaRef ds:uri="http://schemas.microsoft.com/office/2006/metadata/properties"/>
    <ds:schemaRef ds:uri="http://schemas.microsoft.com/office/infopath/2007/PartnerControls"/>
    <ds:schemaRef ds:uri="5dc7e9bb-1fd8-4bbc-8532-e859b5f03575"/>
    <ds:schemaRef ds:uri="5b56151d-e930-42ce-a2d4-a7d65e43f0f7"/>
  </ds:schemaRefs>
</ds:datastoreItem>
</file>

<file path=customXml/itemProps3.xml><?xml version="1.0" encoding="utf-8"?>
<ds:datastoreItem xmlns:ds="http://schemas.openxmlformats.org/officeDocument/2006/customXml" ds:itemID="{7FF2E7AB-5F51-4CA8-965A-4F8C0B8FFD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EY Ireland PPM Planner 2025</vt:lpstr>
      <vt:lpstr>PPM Dashboard</vt:lpstr>
      <vt:lpstr>BEL Costs as of Jan 2025</vt:lpstr>
      <vt:lpstr>Costing CCN 2025 Service Stream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Craven</dc:creator>
  <cp:keywords/>
  <dc:description/>
  <cp:lastModifiedBy>Kevin Bentil</cp:lastModifiedBy>
  <cp:revision/>
  <dcterms:created xsi:type="dcterms:W3CDTF">2023-11-21T08:32:26Z</dcterms:created>
  <dcterms:modified xsi:type="dcterms:W3CDTF">2026-04-14T16:21:38Z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0x01010002263D84272B55479FC91772FB8BCEE3</vt:lpwstr>
  </property>
  <property fmtid="{D5CDD505-2E9C-101B-9397-08002B2CF9AE}" pid="3" name="MediaServiceImageTags">
    <vt:lpwstr/>
  </property>
</Properties>
</file>